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547EBB99-5C3D-4623-B0CE-4E69E130F98A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84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X323" i="1" l="1"/>
  <c r="Y323" i="1" s="1"/>
  <c r="G27" i="1" l="1"/>
  <c r="F26" i="1"/>
  <c r="C26" i="1"/>
  <c r="F25" i="1"/>
  <c r="C25" i="1"/>
  <c r="X244" i="1"/>
  <c r="Y244" i="1" s="1"/>
  <c r="X245" i="1"/>
  <c r="Y245" i="1" s="1"/>
  <c r="X246" i="1"/>
  <c r="Y246" i="1" s="1"/>
  <c r="X247" i="1"/>
  <c r="Y247" i="1" s="1"/>
  <c r="X248" i="1"/>
  <c r="Y248" i="1" s="1"/>
  <c r="X249" i="1"/>
  <c r="Y249" i="1" s="1"/>
  <c r="X250" i="1"/>
  <c r="Y250" i="1" s="1"/>
  <c r="X251" i="1"/>
  <c r="Y251" i="1" s="1"/>
  <c r="X252" i="1"/>
  <c r="Y252" i="1" s="1"/>
  <c r="X253" i="1"/>
  <c r="Y253" i="1" s="1"/>
  <c r="X254" i="1"/>
  <c r="Y254" i="1" s="1"/>
  <c r="X255" i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278" i="1"/>
  <c r="Y278" i="1" s="1"/>
  <c r="X279" i="1"/>
  <c r="Y279" i="1" s="1"/>
  <c r="X280" i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Y295" i="1" s="1"/>
  <c r="X296" i="1"/>
  <c r="Y296" i="1" s="1"/>
  <c r="X297" i="1"/>
  <c r="Y297" i="1" s="1"/>
  <c r="X298" i="1"/>
  <c r="Y298" i="1" s="1"/>
  <c r="X299" i="1"/>
  <c r="Y299" i="1" s="1"/>
  <c r="X300" i="1"/>
  <c r="Y300" i="1" s="1"/>
  <c r="X301" i="1"/>
  <c r="Y301" i="1" s="1"/>
  <c r="X302" i="1"/>
  <c r="Y302" i="1" s="1"/>
  <c r="X303" i="1"/>
  <c r="Y303" i="1" s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Y311" i="1" s="1"/>
  <c r="X312" i="1"/>
  <c r="Y312" i="1" s="1"/>
  <c r="X313" i="1"/>
  <c r="Y313" i="1" s="1"/>
  <c r="X314" i="1"/>
  <c r="Y314" i="1" s="1"/>
  <c r="X315" i="1"/>
  <c r="Y315" i="1" s="1"/>
  <c r="X316" i="1"/>
  <c r="Y316" i="1" s="1"/>
  <c r="X317" i="1"/>
  <c r="Y317" i="1" s="1"/>
  <c r="X318" i="1"/>
  <c r="Y318" i="1" s="1"/>
  <c r="X319" i="1"/>
  <c r="Y319" i="1" s="1"/>
  <c r="X320" i="1"/>
  <c r="Y320" i="1" s="1"/>
  <c r="X321" i="1"/>
  <c r="Y321" i="1" s="1"/>
  <c r="X322" i="1"/>
  <c r="Y322" i="1" s="1"/>
  <c r="F7" i="1" l="1"/>
  <c r="D19" i="69" l="1"/>
  <c r="B10" i="69"/>
  <c r="C10" i="69"/>
  <c r="C6" i="1"/>
  <c r="H6" i="1" l="1"/>
  <c r="H14" i="1"/>
  <c r="H16" i="1"/>
  <c r="B19" i="69" l="1"/>
  <c r="F5" i="1"/>
  <c r="G5" i="1" s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C19" i="69" l="1"/>
  <c r="B7" i="69"/>
  <c r="C14" i="69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162" i="1"/>
  <c r="Y21" i="1"/>
  <c r="Y22" i="1"/>
  <c r="Y196" i="1"/>
  <c r="Y195" i="1"/>
  <c r="Y226" i="1"/>
  <c r="Y17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61694_off0.01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<sst xmlns="http://schemas.openxmlformats.org/spreadsheetml/2006/main" count="1169" uniqueCount="649">
  <si>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</si>
  <si>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</si>
  <si>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</si>
  <si>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</si>
  <si>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</si>
  <si>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</si>
  <si>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</si>
  <si>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</si>
  <si>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</si>
  <si>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</si>
  <si>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</si>
  <si>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</si>
  <si>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</si>
  <si>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</si>
  <si>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</si>
  <si>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</si>
  <si>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</si>
  <si>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</si>
  <si>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</si>
  <si>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</si>
  <si>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</si>
  <si>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</si>
  <si>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</si>
  <si>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</si>
  <si>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</si>
  <si>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</si>
  <si>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</si>
  <si>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</si>
  <si>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</si>
  <si>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</si>
  <si>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</si>
  <si>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</si>
  <si>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</si>
  <si>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</si>
  <si>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</si>
  <si>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</si>
  <si>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</si>
  <si>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</si>
  <si>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</si>
  <si>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</si>
  <si>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</si>
  <si>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</si>
  <si>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</si>
  <si>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</si>
  <si>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</si>
  <si>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</si>
  <si>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</si>
  <si>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</si>
  <si>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</si>
  <si>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</si>
  <si>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</si>
  <si>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</si>
  <si>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</si>
  <si>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</si>
  <si>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</si>
  <si>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</si>
  <si>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</si>
  <si>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</si>
  <si>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</si>
  <si>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</si>
  <si>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</si>
  <si>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</si>
  <si>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</si>
  <si>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</si>
  <si>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</si>
  <si>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</si>
  <si>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</si>
  <si>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</si>
  <si>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</si>
  <si>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</si>
  <si>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</si>
  <si>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</si>
  <si>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</si>
  <si>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</si>
  <si>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</si>
  <si>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</si>
  <si>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</si>
  <si>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</si>
  <si>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</si>
  <si>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</si>
  <si>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</si>
  <si>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</si>
  <si>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</si>
  <si>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</si>
  <si>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</si>
  <si>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</si>
  <si>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</si>
  <si>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</si>
  <si>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</si>
  <si>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</si>
  <si>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</si>
  <si>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</si>
  <si>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</si>
  <si>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</si>
  <si>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</si>
  <si>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</si>
  <si>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</si>
  <si>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</si>
  <si>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</si>
  <si>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</si>
  <si>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</si>
  <si>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</si>
  <si>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</si>
  <si>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</si>
  <si>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</si>
  <si>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</si>
  <si>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</si>
  <si>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</si>
  <si>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</si>
  <si>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</si>
  <si>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</si>
  <si>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</si>
  <si>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</si>
  <si>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</si>
  <si>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</si>
  <si>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</si>
  <si>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</si>
  <si>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</si>
  <si>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</si>
  <si>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</si>
  <si>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</si>
  <si>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</si>
  <si>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</si>
  <si>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</si>
  <si>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</si>
  <si>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</si>
  <si>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</si>
  <si>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</si>
  <si>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</si>
  <si>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</si>
  <si>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</si>
  <si>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</si>
  <si>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</si>
  <si>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</si>
  <si>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</si>
  <si>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</si>
  <si>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</si>
  <si>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</si>
  <si>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</si>
  <si>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</si>
  <si>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</si>
  <si>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</si>
  <si>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</si>
  <si>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</si>
  <si>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</si>
  <si>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</si>
  <si>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</si>
  <si>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</si>
  <si>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</si>
  <si>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</si>
  <si>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</si>
  <si>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</si>
  <si>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</si>
  <si>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</si>
  <si>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</si>
  <si>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</si>
  <si>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</si>
  <si>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</si>
  <si>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</si>
  <si>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</si>
  <si>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</si>
  <si>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</si>
  <si>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</si>
  <si>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</si>
  <si>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</si>
  <si>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</si>
  <si>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</si>
  <si>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</si>
  <si>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</si>
  <si>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</si>
  <si>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</si>
  <si>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</si>
  <si>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</si>
  <si>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</si>
  <si>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</si>
  <si>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</si>
  <si>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</si>
  <si>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</si>
  <si>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</si>
  <si>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</si>
  <si>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</si>
  <si>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</si>
  <si>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</si>
  <si>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</si>
  <si>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</si>
  <si>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</si>
  <si>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</si>
  <si>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</si>
  <si>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</si>
  <si>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</si>
  <si>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</si>
  <si>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</si>
  <si>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</si>
  <si>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</si>
  <si>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</si>
  <si>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</si>
  <si>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</si>
  <si>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</si>
  <si>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</si>
  <si>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</si>
  <si>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</si>
  <si>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</si>
  <si>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</si>
  <si>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</si>
  <si>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</si>
  <si>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</si>
  <si>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</si>
  <si>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</si>
  <si>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</si>
  <si>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</si>
  <si>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</si>
  <si>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</si>
  <si>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</si>
  <si>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</si>
  <si>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</si>
  <si>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</si>
  <si>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</si>
  <si>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</si>
  <si>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</si>
  <si>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</si>
  <si>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</si>
  <si>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</si>
  <si>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</si>
  <si>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</si>
  <si>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</si>
  <si>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</si>
  <si>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</si>
  <si>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</si>
  <si>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</si>
  <si>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</si>
  <si>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</si>
  <si>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</si>
  <si>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</si>
  <si>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</si>
  <si>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</si>
  <si>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</si>
  <si>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</si>
  <si>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</si>
  <si>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</si>
  <si>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</si>
  <si>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</si>
  <si>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</si>
  <si>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</si>
  <si>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</si>
  <si>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</si>
  <si>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</si>
  <si>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</si>
  <si>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</si>
  <si>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</si>
  <si>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</si>
  <si>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</si>
  <si>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</si>
  <si>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</si>
  <si>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</si>
  <si>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</si>
  <si>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</si>
  <si>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</si>
  <si>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</si>
  <si>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</si>
  <si>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</si>
  <si>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</si>
  <si>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</si>
  <si>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</si>
  <si>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</si>
  <si>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</si>
  <si>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</si>
  <si>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</si>
  <si>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</si>
  <si>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</si>
  <si>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</si>
  <si>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</si>
  <si>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</si>
  <si>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</si>
  <si>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</si>
  <si>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</si>
  <si>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</si>
  <si>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</si>
  <si>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</si>
  <si>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</si>
  <si>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</si>
  <si>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</si>
  <si>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</si>
  <si>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</si>
  <si>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</si>
  <si>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</si>
  <si>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</si>
  <si>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</si>
  <si>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</si>
  <si>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</si>
  <si>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</si>
  <si>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</si>
  <si>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</si>
  <si>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</si>
  <si>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</si>
  <si>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</si>
  <si>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</si>
  <si>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</si>
  <si>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</si>
  <si>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</si>
  <si>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</si>
  <si>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</si>
  <si>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</si>
  <si>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</si>
  <si>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</si>
  <si>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</si>
  <si>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</si>
  <si>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</si>
  <si>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</si>
  <si>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</si>
  <si>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</si>
  <si>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</si>
  <si>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</si>
  <si>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</si>
  <si>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</si>
  <si>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</si>
  <si>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</si>
  <si>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</si>
  <si>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</si>
  <si>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</si>
  <si>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</si>
  <si>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</si>
  <si>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</si>
  <si>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</si>
  <si>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</si>
  <si>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</si>
  <si>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</si>
  <si>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</si>
  <si>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</si>
  <si>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</si>
  <si>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</si>
  <si>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</si>
  <si>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</si>
  <si>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</si>
  <si>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</si>
  <si>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</si>
  <si>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</si>
  <si>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</si>
  <si>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</si>
  <si>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</si>
  <si>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</si>
  <si>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</si>
  <si>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</si>
  <si>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</si>
  <si>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</si>
  <si>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</si>
  <si>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</si>
  <si>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</si>
  <si>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</si>
  <si>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</si>
  <si>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</si>
  <si>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</si>
  <si>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</si>
  <si>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</si>
  <si>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</si>
  <si>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</si>
  <si>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</si>
  <si>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</si>
  <si>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</si>
  <si>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</si>
  <si>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</si>
  <si>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</si>
  <si>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</si>
  <si>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</si>
  <si>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</si>
  <si>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</si>
  <si>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</si>
  <si>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</si>
  <si>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</si>
  <si>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</si>
  <si>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</si>
  <si>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</si>
  <si>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</si>
  <si>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</si>
  <si>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</si>
  <si>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</si>
  <si>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</si>
  <si>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</si>
  <si>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</si>
  <si>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</si>
  <si>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</si>
  <si>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</si>
  <si>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</si>
  <si>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</si>
  <si>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</si>
  <si>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</si>
  <si>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</si>
  <si>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</si>
  <si>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</si>
  <si>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</si>
  <si>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</si>
  <si>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</si>
  <si>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</si>
  <si>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</si>
  <si>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</si>
  <si>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</si>
  <si>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</si>
  <si>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</si>
  <si>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</si>
  <si>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</si>
  <si>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</si>
  <si>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</si>
  <si>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</si>
  <si>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</si>
  <si>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</si>
  <si>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</si>
  <si>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</si>
  <si>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</si>
  <si>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</si>
  <si>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</si>
  <si>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</si>
  <si>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</si>
  <si>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</si>
  <si>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</si>
  <si>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</si>
  <si>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</si>
  <si>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</si>
  <si>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</si>
  <si>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</si>
  <si>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</si>
  <si>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</si>
  <si>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</si>
  <si>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</si>
  <si>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</si>
  <si>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</si>
  <si>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</si>
  <si>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</si>
  <si>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</si>
  <si>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</si>
  <si>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</si>
  <si>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</si>
  <si>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</si>
  <si>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</si>
  <si>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</si>
  <si>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</si>
  <si>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</si>
  <si>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</si>
  <si>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</si>
  <si>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</si>
  <si>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</si>
  <si>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</si>
  <si>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</si>
  <si>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</si>
  <si>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</si>
  <si>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</si>
  <si>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</si>
  <si>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</si>
  <si>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</si>
  <si>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</si>
  <si>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</si>
  <si>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</si>
  <si>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</si>
  <si>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</si>
  <si>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</si>
  <si>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</si>
  <si>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</si>
  <si>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</si>
  <si>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</si>
  <si>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</si>
  <si>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</si>
  <si>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</si>
  <si>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</si>
  <si>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</si>
  <si>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</si>
  <si>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</si>
  <si>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</si>
  <si>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</si>
  <si>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</si>
  <si>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</si>
  <si>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</si>
  <si>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</si>
  <si>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</si>
  <si>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</si>
  <si>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</si>
  <si>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</si>
  <si>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</si>
  <si>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</si>
  <si>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</si>
  <si>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</si>
  <si>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</si>
  <si>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</si>
  <si>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</si>
  <si>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</si>
  <si>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</si>
  <si>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</si>
  <si>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</si>
  <si>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</si>
  <si>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</si>
  <si>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</si>
  <si>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</si>
  <si>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</si>
  <si>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</si>
  <si>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</si>
  <si>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</si>
  <si>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</si>
  <si>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</si>
  <si>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</si>
  <si>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</si>
  <si>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</si>
  <si>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</si>
  <si>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</si>
  <si>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</si>
  <si>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</si>
  <si>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</si>
  <si>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</si>
  <si>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</si>
  <si>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</si>
  <si>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</si>
  <si>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</si>
  <si>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</si>
  <si>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</si>
  <si>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</si>
  <si>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</si>
  <si>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</si>
  <si>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</si>
  <si>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</si>
  <si>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</si>
  <si>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</si>
  <si>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</si>
  <si>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</si>
  <si>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</si>
  <si>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</si>
  <si>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</si>
  <si>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</si>
  <si>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</si>
  <si>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</si>
  <si>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</si>
  <si>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</si>
  <si>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</si>
  <si>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</si>
  <si>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</si>
  <si>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</si>
  <si>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</si>
  <si>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</si>
  <si>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</si>
  <si>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</si>
  <si>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</si>
  <si>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</si>
  <si>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</si>
  <si>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</si>
  <si>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</si>
  <si>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</si>
  <si>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</si>
  <si>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</si>
  <si>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</si>
  <si>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</si>
  <si>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</si>
  <si>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</si>
  <si>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</si>
  <si>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</si>
  <si>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</si>
  <si>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</si>
  <si>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</si>
  <si>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</si>
  <si>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</si>
  <si>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</si>
  <si>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</si>
  <si>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</si>
  <si>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</si>
  <si>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</si>
  <si>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</si>
  <si>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</si>
  <si>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</si>
  <si>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</si>
  <si>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</si>
  <si>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</si>
  <si>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</si>
  <si>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</si>
  <si>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</si>
  <si>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</si>
  <si>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</si>
  <si>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</si>
  <si>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</si>
  <si>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</si>
  <si>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</si>
  <si>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</si>
  <si>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</si>
  <si>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</si>
  <si>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</si>
  <si>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</si>
  <si>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</si>
  <si>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</si>
  <si>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</si>
  <si>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</si>
  <si>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</si>
  <si>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</si>
  <si>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</si>
  <si>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</si>
  <si>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</si>
  <si>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</si>
  <si>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</si>
  <si>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</si>
  <si>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</si>
  <si>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</si>
  <si>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</si>
  <si>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</si>
  <si>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</si>
  <si>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</si>
  <si>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</si>
  <si>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</si>
  <si>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</si>
  <si>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</si>
  <si>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</si>
  <si>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</si>
  <si>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</si>
  <si>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</si>
  <si>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</si>
  <si>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</si>
  <si>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</si>
  <si>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</si>
  <si>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</si>
  <si>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</si>
  <si>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</si>
  <si>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</si>
  <si>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</si>
  <si>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</si>
  <si>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</si>
  <si>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</si>
  <si>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</si>
  <si>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</si>
  <si>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</si>
  <si>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</si>
  <si>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</si>
  <si>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</si>
  <si>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</si>
  <si>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</si>
  <si>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</si>
  <si>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</si>
  <si>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</si>
  <si>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</si>
  <si>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</si>
  <si>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</si>
  <si>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</si>
  <si>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</si>
  <si>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</si>
  <si>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</si>
  <si>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</si>
  <si>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</si>
  <si>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</si>
  <si>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</si>
  <si>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</si>
  <si>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</si>
  <si>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</si>
  <si>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</si>
  <si>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IPTS-18855</t>
  </si>
  <si>
    <t>1_P3HMA_112h_5min-161694-1.</t>
  </si>
  <si>
    <t>2018-07-23T09:19:44.687442666</t>
  </si>
  <si>
    <t>Tue</t>
  </si>
  <si>
    <t>Mar</t>
  </si>
  <si>
    <t>30_03_2021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</si>
</sst>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104.06470632135627</c:v>
                </c:pt>
                <c:pt idx="4">
                  <c:v>104.06470632135627</c:v>
                </c:pt>
                <c:pt idx="5">
                  <c:v>107.09145556974097</c:v>
                </c:pt>
                <c:pt idx="6">
                  <c:v>107.09145556974097</c:v>
                </c:pt>
                <c:pt idx="7">
                  <c:v>108.77577771024447</c:v>
                </c:pt>
                <c:pt idx="8">
                  <c:v>108.77577771024447</c:v>
                </c:pt>
                <c:pt idx="9">
                  <c:v>110.00982807518024</c:v>
                </c:pt>
                <c:pt idx="10">
                  <c:v>110.00982807518024</c:v>
                </c:pt>
                <c:pt idx="11">
                  <c:v>111.0140813681691</c:v>
                </c:pt>
                <c:pt idx="12">
                  <c:v>111.0140813681691</c:v>
                </c:pt>
                <c:pt idx="13">
                  <c:v>111.8812596621158</c:v>
                </c:pt>
                <c:pt idx="14">
                  <c:v>111.8812596621158</c:v>
                </c:pt>
                <c:pt idx="15">
                  <c:v>112.66028321448289</c:v>
                </c:pt>
                <c:pt idx="16">
                  <c:v>112.66028321448289</c:v>
                </c:pt>
                <c:pt idx="17">
                  <c:v>113.38088029257922</c:v>
                </c:pt>
                <c:pt idx="18">
                  <c:v>113.38088029257922</c:v>
                </c:pt>
                <c:pt idx="19">
                  <c:v>114.06316944352292</c:v>
                </c:pt>
                <c:pt idx="20">
                  <c:v>114.06316944352292</c:v>
                </c:pt>
                <c:pt idx="21">
                  <c:v>114.72213037104541</c:v>
                </c:pt>
                <c:pt idx="22">
                  <c:v>114.72213037104541</c:v>
                </c:pt>
                <c:pt idx="23">
                  <c:v>115.37002187105595</c:v>
                </c:pt>
                <c:pt idx="24">
                  <c:v>115.37002187105595</c:v>
                </c:pt>
                <c:pt idx="25">
                  <c:v>116.0179133710665</c:v>
                </c:pt>
                <c:pt idx="26">
                  <c:v>116.0179133710665</c:v>
                </c:pt>
                <c:pt idx="27">
                  <c:v>116.67687429858898</c:v>
                </c:pt>
                <c:pt idx="28">
                  <c:v>116.67687429858898</c:v>
                </c:pt>
                <c:pt idx="29">
                  <c:v>117.35916344953269</c:v>
                </c:pt>
                <c:pt idx="30">
                  <c:v>117.35916344953269</c:v>
                </c:pt>
                <c:pt idx="31">
                  <c:v>118.07976052762902</c:v>
                </c:pt>
                <c:pt idx="32">
                  <c:v>118.07976052762902</c:v>
                </c:pt>
                <c:pt idx="33">
                  <c:v>118.85878407999611</c:v>
                </c:pt>
                <c:pt idx="34">
                  <c:v>118.85878407999611</c:v>
                </c:pt>
                <c:pt idx="35">
                  <c:v>119.72596237394281</c:v>
                </c:pt>
                <c:pt idx="36">
                  <c:v>119.72596237394281</c:v>
                </c:pt>
                <c:pt idx="37">
                  <c:v>120.73021566693167</c:v>
                </c:pt>
                <c:pt idx="38">
                  <c:v>120.73021566693167</c:v>
                </c:pt>
                <c:pt idx="39">
                  <c:v>121.96426603186744</c:v>
                </c:pt>
                <c:pt idx="40">
                  <c:v>121.96426603186744</c:v>
                </c:pt>
                <c:pt idx="41">
                  <c:v>123.64858817237094</c:v>
                </c:pt>
                <c:pt idx="42">
                  <c:v>123.64858817237094</c:v>
                </c:pt>
                <c:pt idx="43">
                  <c:v>126.67533742075564</c:v>
                </c:pt>
                <c:pt idx="44">
                  <c:v>126.67533742075564</c:v>
                </c:pt>
                <c:pt idx="45">
                  <c:v>130.74004374211191</c:v>
                </c:pt>
                <c:pt idx="46">
                  <c:v>130.74004374211191</c:v>
                </c:pt>
                <c:pt idx="47">
                  <c:v>759.39384900276616</c:v>
                </c:pt>
                <c:pt idx="48">
                  <c:v>759.39384900276616</c:v>
                </c:pt>
                <c:pt idx="49">
                  <c:v>832.55106049809001</c:v>
                </c:pt>
                <c:pt idx="50">
                  <c:v>832.55106049809001</c:v>
                </c:pt>
                <c:pt idx="51">
                  <c:v>887.02696045277821</c:v>
                </c:pt>
                <c:pt idx="52">
                  <c:v>887.02696045277821</c:v>
                </c:pt>
                <c:pt idx="53">
                  <c:v>917.34165020334206</c:v>
                </c:pt>
                <c:pt idx="54">
                  <c:v>917.34165020334206</c:v>
                </c:pt>
                <c:pt idx="55">
                  <c:v>939.55227906701941</c:v>
                </c:pt>
                <c:pt idx="56">
                  <c:v>939.55227906701941</c:v>
                </c:pt>
                <c:pt idx="57">
                  <c:v>957.62698477553613</c:v>
                </c:pt>
                <c:pt idx="58">
                  <c:v>957.62698477553613</c:v>
                </c:pt>
                <c:pt idx="59">
                  <c:v>973.23459350266398</c:v>
                </c:pt>
                <c:pt idx="60">
                  <c:v>973.23459350266398</c:v>
                </c:pt>
                <c:pt idx="61">
                  <c:v>987.25557958988065</c:v>
                </c:pt>
                <c:pt idx="62">
                  <c:v>987.25557958988065</c:v>
                </c:pt>
                <c:pt idx="63">
                  <c:v>1000.2249969788388</c:v>
                </c:pt>
                <c:pt idx="64">
                  <c:v>1000.2249969788388</c:v>
                </c:pt>
                <c:pt idx="65">
                  <c:v>1012.5049423845621</c:v>
                </c:pt>
                <c:pt idx="66">
                  <c:v>1012.5049423845621</c:v>
                </c:pt>
                <c:pt idx="67">
                  <c:v>1024.3650228259535</c:v>
                </c:pt>
                <c:pt idx="68">
                  <c:v>1024.3650228259535</c:v>
                </c:pt>
                <c:pt idx="69">
                  <c:v>1036.0258740031375</c:v>
                </c:pt>
                <c:pt idx="70">
                  <c:v>1036.0258740031375</c:v>
                </c:pt>
                <c:pt idx="71">
                  <c:v>1040.8561618556776</c:v>
                </c:pt>
                <c:pt idx="72">
                  <c:v>1040.8561618556776</c:v>
                </c:pt>
                <c:pt idx="73">
                  <c:v>1050.516737560758</c:v>
                </c:pt>
                <c:pt idx="74">
                  <c:v>1050.516737560758</c:v>
                </c:pt>
                <c:pt idx="75">
                  <c:v>1060.1773132658384</c:v>
                </c:pt>
                <c:pt idx="76">
                  <c:v>1060.1773132658384</c:v>
                </c:pt>
                <c:pt idx="77">
                  <c:v>1069.8378889709188</c:v>
                </c:pt>
                <c:pt idx="78">
                  <c:v>1069.8378889709188</c:v>
                </c:pt>
                <c:pt idx="79">
                  <c:v>1079.4984646759992</c:v>
                </c:pt>
                <c:pt idx="80">
                  <c:v>1079.4984646759992</c:v>
                </c:pt>
                <c:pt idx="81">
                  <c:v>1089.1590403810796</c:v>
                </c:pt>
                <c:pt idx="82">
                  <c:v>1089.1590403810796</c:v>
                </c:pt>
                <c:pt idx="83">
                  <c:v>1098.8196160861601</c:v>
                </c:pt>
                <c:pt idx="84">
                  <c:v>1098.8196160861601</c:v>
                </c:pt>
                <c:pt idx="85">
                  <c:v>1108.4801917912405</c:v>
                </c:pt>
                <c:pt idx="86">
                  <c:v>1108.4801917912405</c:v>
                </c:pt>
                <c:pt idx="87">
                  <c:v>1118.1407674963209</c:v>
                </c:pt>
                <c:pt idx="88">
                  <c:v>1118.1407674963209</c:v>
                </c:pt>
                <c:pt idx="89">
                  <c:v>1127.8013432014013</c:v>
                </c:pt>
                <c:pt idx="90">
                  <c:v>1127.8013432014013</c:v>
                </c:pt>
                <c:pt idx="91">
                  <c:v>1137.4619189064817</c:v>
                </c:pt>
                <c:pt idx="92">
                  <c:v>1137.4619189064817</c:v>
                </c:pt>
                <c:pt idx="93">
                  <c:v>1147.1224946115622</c:v>
                </c:pt>
                <c:pt idx="94">
                  <c:v>1147.1224946115622</c:v>
                </c:pt>
                <c:pt idx="95">
                  <c:v>1156.7830703166426</c:v>
                </c:pt>
                <c:pt idx="96">
                  <c:v>1156.7830703166426</c:v>
                </c:pt>
                <c:pt idx="97">
                  <c:v>1166.443646021723</c:v>
                </c:pt>
                <c:pt idx="98">
                  <c:v>1166.443646021723</c:v>
                </c:pt>
                <c:pt idx="99">
                  <c:v>1176.1042217268034</c:v>
                </c:pt>
                <c:pt idx="100">
                  <c:v>1176.1042217268034</c:v>
                </c:pt>
                <c:pt idx="101">
                  <c:v>1185.7647974318838</c:v>
                </c:pt>
                <c:pt idx="102">
                  <c:v>1185.7647974318838</c:v>
                </c:pt>
                <c:pt idx="103">
                  <c:v>1195.4253731369643</c:v>
                </c:pt>
                <c:pt idx="104">
                  <c:v>1195.4253731369643</c:v>
                </c:pt>
                <c:pt idx="105">
                  <c:v>1205.0859488420447</c:v>
                </c:pt>
                <c:pt idx="106">
                  <c:v>1205.0859488420447</c:v>
                </c:pt>
                <c:pt idx="107">
                  <c:v>1214.7465245471251</c:v>
                </c:pt>
                <c:pt idx="108">
                  <c:v>1214.7465245471251</c:v>
                </c:pt>
                <c:pt idx="109">
                  <c:v>1224.4071002522055</c:v>
                </c:pt>
                <c:pt idx="110">
                  <c:v>1224.4071002522055</c:v>
                </c:pt>
                <c:pt idx="111">
                  <c:v>1234.0676759572859</c:v>
                </c:pt>
                <c:pt idx="112">
                  <c:v>1234.0676759572859</c:v>
                </c:pt>
                <c:pt idx="113">
                  <c:v>1243.7282516623663</c:v>
                </c:pt>
                <c:pt idx="114">
                  <c:v>1243.7282516623663</c:v>
                </c:pt>
                <c:pt idx="115">
                  <c:v>1248.5585395149064</c:v>
                </c:pt>
                <c:pt idx="116">
                  <c:v>1248.5585395149064</c:v>
                </c:pt>
                <c:pt idx="117">
                  <c:v>1248.7858122421792</c:v>
                </c:pt>
                <c:pt idx="118">
                  <c:v>1248.7858122421792</c:v>
                </c:pt>
                <c:pt idx="119">
                  <c:v>1249.2403576967247</c:v>
                </c:pt>
                <c:pt idx="120">
                  <c:v>1249.2403576967247</c:v>
                </c:pt>
                <c:pt idx="121">
                  <c:v>1249.6949031512702</c:v>
                </c:pt>
                <c:pt idx="122">
                  <c:v>1249.6949031512702</c:v>
                </c:pt>
                <c:pt idx="123">
                  <c:v>1250.1494486058157</c:v>
                </c:pt>
                <c:pt idx="124">
                  <c:v>1250.1494486058157</c:v>
                </c:pt>
                <c:pt idx="125">
                  <c:v>1250.6039940603612</c:v>
                </c:pt>
                <c:pt idx="126">
                  <c:v>1250.6039940603612</c:v>
                </c:pt>
                <c:pt idx="127">
                  <c:v>1251.0585395149067</c:v>
                </c:pt>
                <c:pt idx="128">
                  <c:v>1251.0585395149067</c:v>
                </c:pt>
                <c:pt idx="129">
                  <c:v>1251.5130849694522</c:v>
                </c:pt>
                <c:pt idx="130">
                  <c:v>1251.5130849694522</c:v>
                </c:pt>
                <c:pt idx="131">
                  <c:v>1251.9676304239977</c:v>
                </c:pt>
                <c:pt idx="132">
                  <c:v>1251.9676304239977</c:v>
                </c:pt>
                <c:pt idx="133">
                  <c:v>1252.4221758785432</c:v>
                </c:pt>
                <c:pt idx="134">
                  <c:v>1252.4221758785432</c:v>
                </c:pt>
                <c:pt idx="135">
                  <c:v>1252.8767213330887</c:v>
                </c:pt>
                <c:pt idx="136">
                  <c:v>1252.8767213330887</c:v>
                </c:pt>
                <c:pt idx="137">
                  <c:v>1253.3312667876341</c:v>
                </c:pt>
                <c:pt idx="138">
                  <c:v>1253.3312667876341</c:v>
                </c:pt>
                <c:pt idx="139">
                  <c:v>1253.7858122421796</c:v>
                </c:pt>
                <c:pt idx="140">
                  <c:v>1253.7858122421796</c:v>
                </c:pt>
                <c:pt idx="141">
                  <c:v>1254.2403576967251</c:v>
                </c:pt>
                <c:pt idx="142">
                  <c:v>1254.2403576967251</c:v>
                </c:pt>
                <c:pt idx="143">
                  <c:v>1254.6949031512706</c:v>
                </c:pt>
                <c:pt idx="144">
                  <c:v>1254.6949031512706</c:v>
                </c:pt>
                <c:pt idx="145">
                  <c:v>1255.1494486058161</c:v>
                </c:pt>
                <c:pt idx="146">
                  <c:v>1255.1494486058161</c:v>
                </c:pt>
                <c:pt idx="147">
                  <c:v>1255.6039940603616</c:v>
                </c:pt>
                <c:pt idx="148">
                  <c:v>1255.6039940603616</c:v>
                </c:pt>
                <c:pt idx="149">
                  <c:v>1256.0585395149071</c:v>
                </c:pt>
                <c:pt idx="150">
                  <c:v>1256.0585395149071</c:v>
                </c:pt>
                <c:pt idx="151">
                  <c:v>1256.5130849694526</c:v>
                </c:pt>
                <c:pt idx="152">
                  <c:v>1256.5130849694526</c:v>
                </c:pt>
                <c:pt idx="153">
                  <c:v>1256.9676304239981</c:v>
                </c:pt>
                <c:pt idx="154">
                  <c:v>1256.9676304239981</c:v>
                </c:pt>
                <c:pt idx="155">
                  <c:v>1257.4221758785436</c:v>
                </c:pt>
                <c:pt idx="156">
                  <c:v>1257.4221758785436</c:v>
                </c:pt>
                <c:pt idx="157">
                  <c:v>1257.8767213330891</c:v>
                </c:pt>
                <c:pt idx="158">
                  <c:v>1257.8767213330891</c:v>
                </c:pt>
                <c:pt idx="159">
                  <c:v>1258.3312667876346</c:v>
                </c:pt>
                <c:pt idx="160">
                  <c:v>1258.3312667876346</c:v>
                </c:pt>
                <c:pt idx="161">
                  <c:v>1258.5585395149074</c:v>
                </c:pt>
                <c:pt idx="162">
                  <c:v>1258.5585395149074</c:v>
                </c:pt>
                <c:pt idx="163">
                  <c:v>1258.8328703136367</c:v>
                </c:pt>
                <c:pt idx="164">
                  <c:v>1258.8328703136367</c:v>
                </c:pt>
                <c:pt idx="165">
                  <c:v>1259.111888139269</c:v>
                </c:pt>
                <c:pt idx="166">
                  <c:v>1259.111888139269</c:v>
                </c:pt>
                <c:pt idx="167">
                  <c:v>1259.4007836221388</c:v>
                </c:pt>
                <c:pt idx="168">
                  <c:v>1259.4007836221388</c:v>
                </c:pt>
                <c:pt idx="169">
                  <c:v>1259.7058994818051</c:v>
                </c:pt>
                <c:pt idx="170">
                  <c:v>1259.7058994818051</c:v>
                </c:pt>
                <c:pt idx="171">
                  <c:v>1260.0357543314926</c:v>
                </c:pt>
                <c:pt idx="172">
                  <c:v>1260.0357543314926</c:v>
                </c:pt>
                <c:pt idx="173">
                  <c:v>1260.4029357407492</c:v>
                </c:pt>
                <c:pt idx="174">
                  <c:v>1260.4029357407492</c:v>
                </c:pt>
                <c:pt idx="175">
                  <c:v>1260.8281575687679</c:v>
                </c:pt>
                <c:pt idx="176">
                  <c:v>1260.8281575687679</c:v>
                </c:pt>
                <c:pt idx="177">
                  <c:v>1261.3506802786346</c:v>
                </c:pt>
                <c:pt idx="178">
                  <c:v>1261.3506802786346</c:v>
                </c:pt>
                <c:pt idx="179">
                  <c:v>1262.0638574666582</c:v>
                </c:pt>
                <c:pt idx="180">
                  <c:v>1262.0638574666582</c:v>
                </c:pt>
                <c:pt idx="181">
                  <c:v>1263.3454463420321</c:v>
                </c:pt>
                <c:pt idx="182">
                  <c:v>1263.3454463420321</c:v>
                </c:pt>
                <c:pt idx="183">
                  <c:v>1265.0665279301063</c:v>
                </c:pt>
                <c:pt idx="184">
                  <c:v>1265.0665279301063</c:v>
                </c:pt>
                <c:pt idx="185">
                  <c:v>1274.0790248907601</c:v>
                </c:pt>
                <c:pt idx="186">
                  <c:v>1274.0790248907601</c:v>
                </c:pt>
                <c:pt idx="187">
                  <c:v>1275.8001064788343</c:v>
                </c:pt>
                <c:pt idx="188">
                  <c:v>1275.8001064788343</c:v>
                </c:pt>
                <c:pt idx="189">
                  <c:v>1277.0816953542083</c:v>
                </c:pt>
                <c:pt idx="190">
                  <c:v>1277.0816953542083</c:v>
                </c:pt>
                <c:pt idx="191">
                  <c:v>1277.7948725422318</c:v>
                </c:pt>
                <c:pt idx="192">
                  <c:v>1277.7948725422318</c:v>
                </c:pt>
                <c:pt idx="193">
                  <c:v>1278.3173952520985</c:v>
                </c:pt>
                <c:pt idx="194">
                  <c:v>1278.3173952520985</c:v>
                </c:pt>
                <c:pt idx="195">
                  <c:v>1278.7426170801173</c:v>
                </c:pt>
                <c:pt idx="196">
                  <c:v>1278.7426170801173</c:v>
                </c:pt>
                <c:pt idx="197">
                  <c:v>1279.1097984893738</c:v>
                </c:pt>
                <c:pt idx="198">
                  <c:v>1279.1097984893738</c:v>
                </c:pt>
                <c:pt idx="199">
                  <c:v>1279.4396533390614</c:v>
                </c:pt>
                <c:pt idx="200">
                  <c:v>1279.4396533390614</c:v>
                </c:pt>
                <c:pt idx="201">
                  <c:v>1279.7447691987277</c:v>
                </c:pt>
                <c:pt idx="202">
                  <c:v>1279.7447691987277</c:v>
                </c:pt>
                <c:pt idx="203">
                  <c:v>1280.0336646815974</c:v>
                </c:pt>
                <c:pt idx="204">
                  <c:v>1280.0336646815974</c:v>
                </c:pt>
                <c:pt idx="205">
                  <c:v>1280.3126825072297</c:v>
                </c:pt>
                <c:pt idx="206">
                  <c:v>1280.3126825072297</c:v>
                </c:pt>
                <c:pt idx="207">
                  <c:v>1280.5870133059591</c:v>
                </c:pt>
                <c:pt idx="208">
                  <c:v>1280.5870133059591</c:v>
                </c:pt>
                <c:pt idx="209">
                  <c:v>1280.8613441046884</c:v>
                </c:pt>
                <c:pt idx="210">
                  <c:v>1280.8613441046884</c:v>
                </c:pt>
                <c:pt idx="211">
                  <c:v>1281.1403619303208</c:v>
                </c:pt>
                <c:pt idx="212">
                  <c:v>1281.1403619303208</c:v>
                </c:pt>
                <c:pt idx="213">
                  <c:v>1281.4292574131905</c:v>
                </c:pt>
                <c:pt idx="214">
                  <c:v>1281.4292574131905</c:v>
                </c:pt>
                <c:pt idx="215">
                  <c:v>1281.7343732728568</c:v>
                </c:pt>
                <c:pt idx="216">
                  <c:v>1281.7343732728568</c:v>
                </c:pt>
                <c:pt idx="217">
                  <c:v>1282.0642281225444</c:v>
                </c:pt>
                <c:pt idx="218">
                  <c:v>1282.0642281225444</c:v>
                </c:pt>
                <c:pt idx="219">
                  <c:v>1282.4314095318009</c:v>
                </c:pt>
                <c:pt idx="220">
                  <c:v>1282.4314095318009</c:v>
                </c:pt>
                <c:pt idx="221">
                  <c:v>1282.8566313598196</c:v>
                </c:pt>
                <c:pt idx="222">
                  <c:v>1282.8566313598196</c:v>
                </c:pt>
                <c:pt idx="223">
                  <c:v>1283.3791540696864</c:v>
                </c:pt>
                <c:pt idx="224">
                  <c:v>1283.3791540696864</c:v>
                </c:pt>
                <c:pt idx="225">
                  <c:v>1284.0923312577099</c:v>
                </c:pt>
                <c:pt idx="226">
                  <c:v>1284.0923312577099</c:v>
                </c:pt>
                <c:pt idx="227">
                  <c:v>1285.3739201330839</c:v>
                </c:pt>
                <c:pt idx="228">
                  <c:v>1285.3739201330839</c:v>
                </c:pt>
                <c:pt idx="229">
                  <c:v>1287.095001721158</c:v>
                </c:pt>
                <c:pt idx="230">
                  <c:v>1287.095001721158</c:v>
                </c:pt>
                <c:pt idx="231">
                  <c:v>1387.095001721158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7.7459206939053067E-9</c:v>
                </c:pt>
                <c:pt idx="3">
                  <c:v>7.7459206939053067E-9</c:v>
                </c:pt>
                <c:pt idx="4">
                  <c:v>6.3805389006428917E-8</c:v>
                </c:pt>
                <c:pt idx="5">
                  <c:v>6.3805389006428917E-8</c:v>
                </c:pt>
                <c:pt idx="6">
                  <c:v>1.4490382761246032E-7</c:v>
                </c:pt>
                <c:pt idx="7">
                  <c:v>1.4490382761246032E-7</c:v>
                </c:pt>
                <c:pt idx="8">
                  <c:v>2.3667095366964535E-7</c:v>
                </c:pt>
                <c:pt idx="9">
                  <c:v>2.3667095366964535E-7</c:v>
                </c:pt>
                <c:pt idx="10">
                  <c:v>3.3351740714403901E-7</c:v>
                </c:pt>
                <c:pt idx="11">
                  <c:v>3.3351740714403901E-7</c:v>
                </c:pt>
                <c:pt idx="12">
                  <c:v>4.3288442337911342E-7</c:v>
                </c:pt>
                <c:pt idx="13">
                  <c:v>4.3288442337911342E-7</c:v>
                </c:pt>
                <c:pt idx="14">
                  <c:v>5.33496428652095E-7</c:v>
                </c:pt>
                <c:pt idx="15">
                  <c:v>5.33496428652095E-7</c:v>
                </c:pt>
                <c:pt idx="16">
                  <c:v>6.3469456464737152E-7</c:v>
                </c:pt>
                <c:pt idx="17">
                  <c:v>6.3469456464737152E-7</c:v>
                </c:pt>
                <c:pt idx="18">
                  <c:v>7.3614119408013532E-7</c:v>
                </c:pt>
                <c:pt idx="19">
                  <c:v>7.3614119408013532E-7</c:v>
                </c:pt>
                <c:pt idx="20">
                  <c:v>8.3767390076370261E-7</c:v>
                </c:pt>
                <c:pt idx="21">
                  <c:v>8.3767390076370261E-7</c:v>
                </c:pt>
                <c:pt idx="22">
                  <c:v>9.3922647010276821E-7</c:v>
                </c:pt>
                <c:pt idx="23">
                  <c:v>9.3922647010276821E-7</c:v>
                </c:pt>
                <c:pt idx="24">
                  <c:v>1.0407812527247352E-6</c:v>
                </c:pt>
                <c:pt idx="25">
                  <c:v>1.0407812527247352E-6</c:v>
                </c:pt>
                <c:pt idx="26">
                  <c:v>1.1423338220638006E-6</c:v>
                </c:pt>
                <c:pt idx="27">
                  <c:v>1.1423338220638006E-6</c:v>
                </c:pt>
                <c:pt idx="28">
                  <c:v>1.2438665287473681E-6</c:v>
                </c:pt>
                <c:pt idx="29">
                  <c:v>1.2438665287473681E-6</c:v>
                </c:pt>
                <c:pt idx="30">
                  <c:v>1.3453131581801317E-6</c:v>
                </c:pt>
                <c:pt idx="31">
                  <c:v>1.3453131581801317E-6</c:v>
                </c:pt>
                <c:pt idx="32">
                  <c:v>1.4465112941754084E-6</c:v>
                </c:pt>
                <c:pt idx="33">
                  <c:v>1.4465112941754084E-6</c:v>
                </c:pt>
                <c:pt idx="34">
                  <c:v>1.5471232994483899E-6</c:v>
                </c:pt>
                <c:pt idx="35">
                  <c:v>1.5471232994483899E-6</c:v>
                </c:pt>
                <c:pt idx="36">
                  <c:v>1.6464903156834643E-6</c:v>
                </c:pt>
                <c:pt idx="37">
                  <c:v>1.6464903156834643E-6</c:v>
                </c:pt>
                <c:pt idx="38">
                  <c:v>1.7433367691578579E-6</c:v>
                </c:pt>
                <c:pt idx="39">
                  <c:v>1.7433367691578579E-6</c:v>
                </c:pt>
                <c:pt idx="40">
                  <c:v>1.8351038952150429E-6</c:v>
                </c:pt>
                <c:pt idx="41">
                  <c:v>1.8351038952150429E-6</c:v>
                </c:pt>
                <c:pt idx="42">
                  <c:v>1.9162023338210742E-6</c:v>
                </c:pt>
                <c:pt idx="43">
                  <c:v>1.9162023338210742E-6</c:v>
                </c:pt>
                <c:pt idx="44">
                  <c:v>1.9722618021335981E-6</c:v>
                </c:pt>
                <c:pt idx="45">
                  <c:v>1.9722618021335981E-6</c:v>
                </c:pt>
                <c:pt idx="46">
                  <c:v>1.9800077228275033E-6</c:v>
                </c:pt>
                <c:pt idx="47">
                  <c:v>1.9800077228275033E-6</c:v>
                </c:pt>
                <c:pt idx="48">
                  <c:v>1.9793725700037306E-6</c:v>
                </c:pt>
                <c:pt idx="49">
                  <c:v>1.9793725700037306E-6</c:v>
                </c:pt>
                <c:pt idx="50">
                  <c:v>1.9747757853211943E-6</c:v>
                </c:pt>
                <c:pt idx="51">
                  <c:v>1.9747757853211943E-6</c:v>
                </c:pt>
                <c:pt idx="52">
                  <c:v>1.9681258460409365E-6</c:v>
                </c:pt>
                <c:pt idx="53">
                  <c:v>1.9681258460409365E-6</c:v>
                </c:pt>
                <c:pt idx="54">
                  <c:v>1.9606010918447605E-6</c:v>
                </c:pt>
                <c:pt idx="55">
                  <c:v>1.9606010918447605E-6</c:v>
                </c:pt>
                <c:pt idx="56">
                  <c:v>1.9526598411106783E-6</c:v>
                </c:pt>
                <c:pt idx="57">
                  <c:v>1.9526598411106783E-6</c:v>
                </c:pt>
                <c:pt idx="58">
                  <c:v>1.9445119083541222E-6</c:v>
                </c:pt>
                <c:pt idx="59">
                  <c:v>1.9445119083541222E-6</c:v>
                </c:pt>
                <c:pt idx="60">
                  <c:v>1.9362618885333883E-6</c:v>
                </c:pt>
                <c:pt idx="61">
                  <c:v>1.9362618885333883E-6</c:v>
                </c:pt>
                <c:pt idx="62">
                  <c:v>1.9279638069523969E-6</c:v>
                </c:pt>
                <c:pt idx="63">
                  <c:v>1.9279638069523969E-6</c:v>
                </c:pt>
                <c:pt idx="64">
                  <c:v>1.9196453493160927E-6</c:v>
                </c:pt>
                <c:pt idx="65">
                  <c:v>1.9196453493160927E-6</c:v>
                </c:pt>
                <c:pt idx="66">
                  <c:v>1.9113198334860534E-6</c:v>
                </c:pt>
                <c:pt idx="67">
                  <c:v>1.9113198334860534E-6</c:v>
                </c:pt>
                <c:pt idx="68">
                  <c:v>1.902992688950761E-6</c:v>
                </c:pt>
                <c:pt idx="69">
                  <c:v>1.902992688950761E-6</c:v>
                </c:pt>
                <c:pt idx="70">
                  <c:v>1.8970961044201983E-6</c:v>
                </c:pt>
                <c:pt idx="71">
                  <c:v>1.8970961044201983E-6</c:v>
                </c:pt>
                <c:pt idx="72">
                  <c:v>1.8919097494521571E-6</c:v>
                </c:pt>
                <c:pt idx="73">
                  <c:v>1.8919097494521571E-6</c:v>
                </c:pt>
                <c:pt idx="74">
                  <c:v>1.8850692321245212E-6</c:v>
                </c:pt>
                <c:pt idx="75">
                  <c:v>1.8850692321245212E-6</c:v>
                </c:pt>
                <c:pt idx="76">
                  <c:v>1.8783835013325221E-6</c:v>
                </c:pt>
                <c:pt idx="77">
                  <c:v>1.8783835013325221E-6</c:v>
                </c:pt>
                <c:pt idx="78">
                  <c:v>1.8719234095394926E-6</c:v>
                </c:pt>
                <c:pt idx="79">
                  <c:v>1.8719234095394926E-6</c:v>
                </c:pt>
                <c:pt idx="80">
                  <c:v>1.8657523779439692E-6</c:v>
                </c:pt>
                <c:pt idx="81">
                  <c:v>1.8657523779439692E-6</c:v>
                </c:pt>
                <c:pt idx="82">
                  <c:v>1.8599245582292875E-6</c:v>
                </c:pt>
                <c:pt idx="83">
                  <c:v>1.8599245582292875E-6</c:v>
                </c:pt>
                <c:pt idx="84">
                  <c:v>1.8544834934614948E-6</c:v>
                </c:pt>
                <c:pt idx="85">
                  <c:v>1.8544834934614948E-6</c:v>
                </c:pt>
                <c:pt idx="86">
                  <c:v>1.8494613241297705E-6</c:v>
                </c:pt>
                <c:pt idx="87">
                  <c:v>1.8494613241297705E-6</c:v>
                </c:pt>
                <c:pt idx="88">
                  <c:v>1.844878548001624E-6</c:v>
                </c:pt>
                <c:pt idx="89">
                  <c:v>1.844878548001624E-6</c:v>
                </c:pt>
                <c:pt idx="90">
                  <c:v>1.8407443064016514E-6</c:v>
                </c:pt>
                <c:pt idx="91">
                  <c:v>1.8407443064016514E-6</c:v>
                </c:pt>
                <c:pt idx="92">
                  <c:v>1.8370571378382084E-6</c:v>
                </c:pt>
                <c:pt idx="93">
                  <c:v>1.8370571378382084E-6</c:v>
                </c:pt>
                <c:pt idx="94">
                  <c:v>1.8338061150685997E-6</c:v>
                </c:pt>
                <c:pt idx="95">
                  <c:v>1.8338061150685997E-6</c:v>
                </c:pt>
                <c:pt idx="96">
                  <c:v>1.8309722653115561E-6</c:v>
                </c:pt>
                <c:pt idx="97">
                  <c:v>1.8309722653115561E-6</c:v>
                </c:pt>
                <c:pt idx="98">
                  <c:v>1.8285301660171354E-6</c:v>
                </c:pt>
                <c:pt idx="99">
                  <c:v>1.8285301660171354E-6</c:v>
                </c:pt>
                <c:pt idx="100">
                  <c:v>1.8264496100751286E-6</c:v>
                </c:pt>
                <c:pt idx="101">
                  <c:v>1.8264496100751286E-6</c:v>
                </c:pt>
                <c:pt idx="102">
                  <c:v>1.8246972434588747E-6</c:v>
                </c:pt>
                <c:pt idx="103">
                  <c:v>1.8246972434588747E-6</c:v>
                </c:pt>
                <c:pt idx="104">
                  <c:v>1.82323809334077E-6</c:v>
                </c:pt>
                <c:pt idx="105">
                  <c:v>1.82323809334077E-6</c:v>
                </c:pt>
                <c:pt idx="106">
                  <c:v>1.8220369236183875E-6</c:v>
                </c:pt>
                <c:pt idx="107">
                  <c:v>1.8220369236183875E-6</c:v>
                </c:pt>
                <c:pt idx="108">
                  <c:v>1.8210593754160494E-6</c:v>
                </c:pt>
                <c:pt idx="109">
                  <c:v>1.8210593754160494E-6</c:v>
                </c:pt>
                <c:pt idx="110">
                  <c:v>1.820270583008488E-6</c:v>
                </c:pt>
                <c:pt idx="111">
                  <c:v>1.820270583008488E-6</c:v>
                </c:pt>
                <c:pt idx="112">
                  <c:v>1.809906751957145E-6</c:v>
                </c:pt>
                <c:pt idx="113">
                  <c:v>1.809906751957145E-6</c:v>
                </c:pt>
                <c:pt idx="114">
                  <c:v>1.5772258908700549E-6</c:v>
                </c:pt>
                <c:pt idx="115">
                  <c:v>1.5772258908700549E-6</c:v>
                </c:pt>
                <c:pt idx="116">
                  <c:v>1.3836276152180734E-6</c:v>
                </c:pt>
                <c:pt idx="117">
                  <c:v>1.3836276152180734E-6</c:v>
                </c:pt>
                <c:pt idx="118">
                  <c:v>1.3564822043956293E-6</c:v>
                </c:pt>
                <c:pt idx="119">
                  <c:v>1.3564822043956293E-6</c:v>
                </c:pt>
                <c:pt idx="120">
                  <c:v>1.320686415414171E-6</c:v>
                </c:pt>
                <c:pt idx="121">
                  <c:v>1.320686415414171E-6</c:v>
                </c:pt>
                <c:pt idx="122">
                  <c:v>1.2857202900078521E-6</c:v>
                </c:pt>
                <c:pt idx="123">
                  <c:v>1.2857202900078521E-6</c:v>
                </c:pt>
                <c:pt idx="124">
                  <c:v>1.251980040330452E-6</c:v>
                </c:pt>
                <c:pt idx="125">
                  <c:v>1.251980040330452E-6</c:v>
                </c:pt>
                <c:pt idx="126">
                  <c:v>1.2198511773246E-6</c:v>
                </c:pt>
                <c:pt idx="127">
                  <c:v>1.2198511773246E-6</c:v>
                </c:pt>
                <c:pt idx="128">
                  <c:v>1.1897245271730236E-6</c:v>
                </c:pt>
                <c:pt idx="129">
                  <c:v>1.1897245271730236E-6</c:v>
                </c:pt>
                <c:pt idx="130">
                  <c:v>1.162032181136784E-6</c:v>
                </c:pt>
                <c:pt idx="131">
                  <c:v>1.162032181136784E-6</c:v>
                </c:pt>
                <c:pt idx="132">
                  <c:v>1.1373099452928084E-6</c:v>
                </c:pt>
                <c:pt idx="133">
                  <c:v>1.1373099452928084E-6</c:v>
                </c:pt>
                <c:pt idx="134">
                  <c:v>1.1162906076860634E-6</c:v>
                </c:pt>
                <c:pt idx="135">
                  <c:v>1.1162906076860634E-6</c:v>
                </c:pt>
                <c:pt idx="136">
                  <c:v>1.1000259682102457E-6</c:v>
                </c:pt>
                <c:pt idx="137">
                  <c:v>1.1000259682102457E-6</c:v>
                </c:pt>
                <c:pt idx="138">
                  <c:v>1.0900239240088537E-6</c:v>
                </c:pt>
                <c:pt idx="139">
                  <c:v>1.0900239240088537E-6</c:v>
                </c:pt>
                <c:pt idx="140">
                  <c:v>1.0883705745929531E-6</c:v>
                </c:pt>
                <c:pt idx="141">
                  <c:v>1.0883705745929531E-6</c:v>
                </c:pt>
                <c:pt idx="142">
                  <c:v>1.0977899652167233E-6</c:v>
                </c:pt>
                <c:pt idx="143">
                  <c:v>1.0977899652167233E-6</c:v>
                </c:pt>
                <c:pt idx="144">
                  <c:v>1.1215829068723965E-6</c:v>
                </c:pt>
                <c:pt idx="145">
                  <c:v>1.1215829068723965E-6</c:v>
                </c:pt>
                <c:pt idx="146">
                  <c:v>1.1633906270129019E-6</c:v>
                </c:pt>
                <c:pt idx="147">
                  <c:v>1.1633906270129019E-6</c:v>
                </c:pt>
                <c:pt idx="148">
                  <c:v>1.226756592699635E-6</c:v>
                </c:pt>
                <c:pt idx="149">
                  <c:v>1.226756592699635E-6</c:v>
                </c:pt>
                <c:pt idx="150">
                  <c:v>1.3145117359092174E-6</c:v>
                </c:pt>
                <c:pt idx="151">
                  <c:v>1.3145117359092174E-6</c:v>
                </c:pt>
                <c:pt idx="152">
                  <c:v>1.4280745227964353E-6</c:v>
                </c:pt>
                <c:pt idx="153">
                  <c:v>1.4280745227964353E-6</c:v>
                </c:pt>
                <c:pt idx="154">
                  <c:v>1.5668167345799604E-6</c:v>
                </c:pt>
                <c:pt idx="155">
                  <c:v>1.5668167345799604E-6</c:v>
                </c:pt>
                <c:pt idx="156">
                  <c:v>1.7276722930560841E-6</c:v>
                </c:pt>
                <c:pt idx="157">
                  <c:v>1.7276722930560841E-6</c:v>
                </c:pt>
                <c:pt idx="158">
                  <c:v>1.9051399377501501E-6</c:v>
                </c:pt>
                <c:pt idx="159">
                  <c:v>1.9051399377501501E-6</c:v>
                </c:pt>
                <c:pt idx="160">
                  <c:v>2.0446992398031066E-6</c:v>
                </c:pt>
                <c:pt idx="161">
                  <c:v>2.0446992398031066E-6</c:v>
                </c:pt>
                <c:pt idx="162">
                  <c:v>2.1411167493014851E-6</c:v>
                </c:pt>
                <c:pt idx="163">
                  <c:v>2.1411167493014851E-6</c:v>
                </c:pt>
                <c:pt idx="164">
                  <c:v>2.255607043348213E-6</c:v>
                </c:pt>
                <c:pt idx="165">
                  <c:v>2.255607043348213E-6</c:v>
                </c:pt>
                <c:pt idx="166">
                  <c:v>2.3700749442513368E-6</c:v>
                </c:pt>
                <c:pt idx="167">
                  <c:v>2.3700749442513368E-6</c:v>
                </c:pt>
                <c:pt idx="168">
                  <c:v>2.4844458017234639E-6</c:v>
                </c:pt>
                <c:pt idx="169">
                  <c:v>2.4844458017234639E-6</c:v>
                </c:pt>
                <c:pt idx="170">
                  <c:v>2.5985365078718796E-6</c:v>
                </c:pt>
                <c:pt idx="171">
                  <c:v>2.5985365078718796E-6</c:v>
                </c:pt>
                <c:pt idx="172">
                  <c:v>2.711966410663156E-6</c:v>
                </c:pt>
                <c:pt idx="173">
                  <c:v>2.711966410663156E-6</c:v>
                </c:pt>
                <c:pt idx="174">
                  <c:v>2.8239927137034601E-6</c:v>
                </c:pt>
                <c:pt idx="175">
                  <c:v>2.8239927137034601E-6</c:v>
                </c:pt>
                <c:pt idx="176">
                  <c:v>2.9331773360899732E-6</c:v>
                </c:pt>
                <c:pt idx="177">
                  <c:v>2.9331773360899732E-6</c:v>
                </c:pt>
                <c:pt idx="178">
                  <c:v>3.0366355283788469E-6</c:v>
                </c:pt>
                <c:pt idx="179">
                  <c:v>3.0366355283788469E-6</c:v>
                </c:pt>
                <c:pt idx="180">
                  <c:v>3.1280658500650879E-6</c:v>
                </c:pt>
                <c:pt idx="181">
                  <c:v>3.1280658500650879E-6</c:v>
                </c:pt>
                <c:pt idx="182">
                  <c:v>3.1912672545492482E-6</c:v>
                </c:pt>
                <c:pt idx="183">
                  <c:v>3.1912672545492482E-6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3.1954501189971791E-6</c:v>
                </c:pt>
                <c:pt idx="187">
                  <c:v>3.1954501189971791E-6</c:v>
                </c:pt>
                <c:pt idx="188">
                  <c:v>3.1625213142775441E-6</c:v>
                </c:pt>
                <c:pt idx="189">
                  <c:v>3.1625213142775441E-6</c:v>
                </c:pt>
                <c:pt idx="190">
                  <c:v>3.1148848537774594E-6</c:v>
                </c:pt>
                <c:pt idx="191">
                  <c:v>3.1148848537774594E-6</c:v>
                </c:pt>
                <c:pt idx="192">
                  <c:v>3.060981706555778E-6</c:v>
                </c:pt>
                <c:pt idx="193">
                  <c:v>3.060981706555778E-6</c:v>
                </c:pt>
                <c:pt idx="194">
                  <c:v>3.0040950101556432E-6</c:v>
                </c:pt>
                <c:pt idx="195">
                  <c:v>3.0040950101556432E-6</c:v>
                </c:pt>
                <c:pt idx="196">
                  <c:v>2.9457277588835406E-6</c:v>
                </c:pt>
                <c:pt idx="197">
                  <c:v>2.9457277588835406E-6</c:v>
                </c:pt>
                <c:pt idx="198">
                  <c:v>2.8866292127536489E-6</c:v>
                </c:pt>
                <c:pt idx="199">
                  <c:v>2.8866292127536489E-6</c:v>
                </c:pt>
                <c:pt idx="200">
                  <c:v>2.8271863789471956E-6</c:v>
                </c:pt>
                <c:pt idx="201">
                  <c:v>2.8271863789471956E-6</c:v>
                </c:pt>
                <c:pt idx="202">
                  <c:v>2.7675975824314361E-6</c:v>
                </c:pt>
                <c:pt idx="203">
                  <c:v>2.7675975824314361E-6</c:v>
                </c:pt>
                <c:pt idx="204">
                  <c:v>2.7079582249476933E-6</c:v>
                </c:pt>
                <c:pt idx="205">
                  <c:v>2.7079582249476933E-6</c:v>
                </c:pt>
                <c:pt idx="206">
                  <c:v>2.648307200326823E-6</c:v>
                </c:pt>
                <c:pt idx="207">
                  <c:v>2.648307200326823E-6</c:v>
                </c:pt>
                <c:pt idx="208">
                  <c:v>2.5886548756443814E-6</c:v>
                </c:pt>
                <c:pt idx="209">
                  <c:v>2.5886548756443814E-6</c:v>
                </c:pt>
                <c:pt idx="210">
                  <c:v>2.529003851023511E-6</c:v>
                </c:pt>
                <c:pt idx="211">
                  <c:v>2.529003851023511E-6</c:v>
                </c:pt>
                <c:pt idx="212">
                  <c:v>2.4693644935397682E-6</c:v>
                </c:pt>
                <c:pt idx="213">
                  <c:v>2.4693644935397682E-6</c:v>
                </c:pt>
                <c:pt idx="214">
                  <c:v>2.4097756970240088E-6</c:v>
                </c:pt>
                <c:pt idx="215">
                  <c:v>2.4097756970240088E-6</c:v>
                </c:pt>
                <c:pt idx="216">
                  <c:v>2.350332863217555E-6</c:v>
                </c:pt>
                <c:pt idx="217">
                  <c:v>2.350332863217555E-6</c:v>
                </c:pt>
                <c:pt idx="218">
                  <c:v>2.2912343170876637E-6</c:v>
                </c:pt>
                <c:pt idx="219">
                  <c:v>2.2912343170876637E-6</c:v>
                </c:pt>
                <c:pt idx="220">
                  <c:v>2.2328670658155611E-6</c:v>
                </c:pt>
                <c:pt idx="221">
                  <c:v>2.2328670658155611E-6</c:v>
                </c:pt>
                <c:pt idx="222">
                  <c:v>2.1759803694154263E-6</c:v>
                </c:pt>
                <c:pt idx="223">
                  <c:v>2.1759803694154263E-6</c:v>
                </c:pt>
                <c:pt idx="224">
                  <c:v>2.122077222193745E-6</c:v>
                </c:pt>
                <c:pt idx="225">
                  <c:v>2.122077222193745E-6</c:v>
                </c:pt>
                <c:pt idx="226">
                  <c:v>2.0744407616936602E-6</c:v>
                </c:pt>
                <c:pt idx="227">
                  <c:v>2.0744407616936602E-6</c:v>
                </c:pt>
                <c:pt idx="228">
                  <c:v>2.0415119569740252E-6</c:v>
                </c:pt>
                <c:pt idx="229">
                  <c:v>2.0415119569740252E-6</c:v>
                </c:pt>
                <c:pt idx="230">
                  <c:v>2.0369620759712045E-6</c:v>
                </c:pt>
                <c:pt idx="231">
                  <c:v>2.0369620759712045E-6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  <c:pt idx="257">
                  <c:v>0.10555442482500001</c:v>
                </c:pt>
                <c:pt idx="258">
                  <c:v>0.10660996907299999</c:v>
                </c:pt>
                <c:pt idx="259">
                  <c:v>0.107676068764</c:v>
                </c:pt>
                <c:pt idx="260">
                  <c:v>0.108752829451</c:v>
                </c:pt>
                <c:pt idx="261">
                  <c:v>0.109840357746</c:v>
                </c:pt>
                <c:pt idx="262">
                  <c:v>0.110938761323</c:v>
                </c:pt>
                <c:pt idx="263">
                  <c:v>0.11204814893700001</c:v>
                </c:pt>
                <c:pt idx="264">
                  <c:v>0.11316863042600001</c:v>
                </c:pt>
                <c:pt idx="265">
                  <c:v>0.11430031673</c:v>
                </c:pt>
                <c:pt idx="266">
                  <c:v>0.115443319898</c:v>
                </c:pt>
                <c:pt idx="267">
                  <c:v>0.116597753096</c:v>
                </c:pt>
                <c:pt idx="268">
                  <c:v>0.117763730627</c:v>
                </c:pt>
                <c:pt idx="269">
                  <c:v>0.11894136793399999</c:v>
                </c:pt>
                <c:pt idx="270">
                  <c:v>0.120130781613</c:v>
                </c:pt>
                <c:pt idx="271">
                  <c:v>0.12133208942900001</c:v>
                </c:pt>
                <c:pt idx="272">
                  <c:v>0.122545410323</c:v>
                </c:pt>
                <c:pt idx="273">
                  <c:v>0.123770864427</c:v>
                </c:pt>
                <c:pt idx="274">
                  <c:v>0.125008573071</c:v>
                </c:pt>
                <c:pt idx="275">
                  <c:v>0.12625865880199999</c:v>
                </c:pt>
                <c:pt idx="276">
                  <c:v>0.12752124539000001</c:v>
                </c:pt>
                <c:pt idx="277">
                  <c:v>0.12879645784400001</c:v>
                </c:pt>
                <c:pt idx="278">
                  <c:v>0.130084422422</c:v>
                </c:pt>
                <c:pt idx="279">
                  <c:v>0.131385266646</c:v>
                </c:pt>
                <c:pt idx="280">
                  <c:v>0.13269911931299999</c:v>
                </c:pt>
                <c:pt idx="281">
                  <c:v>0.134026110506</c:v>
                </c:pt>
                <c:pt idx="282">
                  <c:v>0.13536637161100001</c:v>
                </c:pt>
                <c:pt idx="283">
                  <c:v>0.136720035327</c:v>
                </c:pt>
                <c:pt idx="284">
                  <c:v>0.13808723568</c:v>
                </c:pt>
                <c:pt idx="285">
                  <c:v>0.13946810803699999</c:v>
                </c:pt>
                <c:pt idx="286">
                  <c:v>0.14086278911700001</c:v>
                </c:pt>
                <c:pt idx="287">
                  <c:v>0.14227141700900001</c:v>
                </c:pt>
                <c:pt idx="288">
                  <c:v>0.14369413117900001</c:v>
                </c:pt>
                <c:pt idx="289">
                  <c:v>0.14513107249099999</c:v>
                </c:pt>
                <c:pt idx="290">
                  <c:v>0.146582383215</c:v>
                </c:pt>
                <c:pt idx="291">
                  <c:v>0.14804820704800001</c:v>
                </c:pt>
                <c:pt idx="292">
                  <c:v>0.14952868911799999</c:v>
                </c:pt>
                <c:pt idx="293">
                  <c:v>0.151023976009</c:v>
                </c:pt>
                <c:pt idx="294">
                  <c:v>0.152534215769</c:v>
                </c:pt>
                <c:pt idx="295">
                  <c:v>0.15405955792699999</c:v>
                </c:pt>
                <c:pt idx="296">
                  <c:v>0.15560015350600001</c:v>
                </c:pt>
                <c:pt idx="297">
                  <c:v>0.157156155041</c:v>
                </c:pt>
                <c:pt idx="298">
                  <c:v>0.158727716592</c:v>
                </c:pt>
                <c:pt idx="299">
                  <c:v>0.16031499375800001</c:v>
                </c:pt>
                <c:pt idx="300">
                  <c:v>0.16191814369499999</c:v>
                </c:pt>
                <c:pt idx="301">
                  <c:v>0.16353732513200001</c:v>
                </c:pt>
                <c:pt idx="302">
                  <c:v>0.16517269838400001</c:v>
                </c:pt>
                <c:pt idx="303">
                  <c:v>0.16682442536700001</c:v>
                </c:pt>
                <c:pt idx="304">
                  <c:v>0.16849266962100001</c:v>
                </c:pt>
                <c:pt idx="305">
                  <c:v>0.170177596317</c:v>
                </c:pt>
                <c:pt idx="306">
                  <c:v>0.17187937228</c:v>
                </c:pt>
                <c:pt idx="307">
                  <c:v>0.17359816600299999</c:v>
                </c:pt>
                <c:pt idx="308">
                  <c:v>0.17533414766300001</c:v>
                </c:pt>
                <c:pt idx="309">
                  <c:v>0.17708748914</c:v>
                </c:pt>
                <c:pt idx="310">
                  <c:v>0.178858364031</c:v>
                </c:pt>
                <c:pt idx="311">
                  <c:v>0.18064694767200001</c:v>
                </c:pt>
                <c:pt idx="312">
                  <c:v>0.18245341714800001</c:v>
                </c:pt>
                <c:pt idx="313">
                  <c:v>0.18427795131999999</c:v>
                </c:pt>
                <c:pt idx="314">
                  <c:v>0.18612073083299999</c:v>
                </c:pt>
                <c:pt idx="315">
                  <c:v>0.187981938141</c:v>
                </c:pt>
                <c:pt idx="316">
                  <c:v>0.189861757523</c:v>
                </c:pt>
                <c:pt idx="317">
                  <c:v>0.19176037509800001</c:v>
                </c:pt>
                <c:pt idx="318">
                  <c:v>0.19367797884900001</c:v>
                </c:pt>
                <c:pt idx="319">
                  <c:v>0.19561475863700001</c:v>
                </c:pt>
                <c:pt idx="320">
                  <c:v>0.197570906224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4.4785997331777269E-9</c:v>
                </c:pt>
                <c:pt idx="1">
                  <c:v>4.6602975711698371E-9</c:v>
                </c:pt>
                <c:pt idx="2">
                  <c:v>4.84935160627232E-9</c:v>
                </c:pt>
                <c:pt idx="3">
                  <c:v>5.046056032744827E-9</c:v>
                </c:pt>
                <c:pt idx="4">
                  <c:v>5.2507161594797734E-9</c:v>
                </c:pt>
                <c:pt idx="5">
                  <c:v>5.4636482402346338E-9</c:v>
                </c:pt>
                <c:pt idx="6">
                  <c:v>5.685179172279765E-9</c:v>
                </c:pt>
                <c:pt idx="7">
                  <c:v>5.9156460907021437E-9</c:v>
                </c:pt>
                <c:pt idx="8">
                  <c:v>6.1553955398575149E-9</c:v>
                </c:pt>
                <c:pt idx="9">
                  <c:v>6.4047818918534332E-9</c:v>
                </c:pt>
                <c:pt idx="10">
                  <c:v>6.6641644816300363E-9</c:v>
                </c:pt>
                <c:pt idx="11">
                  <c:v>6.9339025064466071E-9</c:v>
                </c:pt>
                <c:pt idx="12">
                  <c:v>7.2143457574986879E-9</c:v>
                </c:pt>
                <c:pt idx="13">
                  <c:v>7.5058170456969419E-9</c:v>
                </c:pt>
                <c:pt idx="14">
                  <c:v>7.8085764974086661E-9</c:v>
                </c:pt>
                <c:pt idx="15">
                  <c:v>8.1227403018964895E-9</c:v>
                </c:pt>
                <c:pt idx="16">
                  <c:v>8.448042380970701E-9</c:v>
                </c:pt>
                <c:pt idx="17">
                  <c:v>8.7802136629348078E-9</c:v>
                </c:pt>
                <c:pt idx="18">
                  <c:v>9.0888685968074971E-9</c:v>
                </c:pt>
                <c:pt idx="19">
                  <c:v>9.2205456815292119E-9</c:v>
                </c:pt>
                <c:pt idx="20">
                  <c:v>8.764414863550402E-9</c:v>
                </c:pt>
                <c:pt idx="21">
                  <c:v>7.3154016089512377E-9</c:v>
                </c:pt>
                <c:pt idx="22">
                  <c:v>5.249617598065167E-9</c:v>
                </c:pt>
                <c:pt idx="23">
                  <c:v>3.6324279554641729E-9</c:v>
                </c:pt>
                <c:pt idx="24">
                  <c:v>2.9810702608098779E-9</c:v>
                </c:pt>
                <c:pt idx="25">
                  <c:v>2.950480167350677E-9</c:v>
                </c:pt>
                <c:pt idx="26">
                  <c:v>3.0872903726234577E-9</c:v>
                </c:pt>
                <c:pt idx="27">
                  <c:v>3.2020284154305682E-9</c:v>
                </c:pt>
                <c:pt idx="28">
                  <c:v>3.2613171205837596E-9</c:v>
                </c:pt>
                <c:pt idx="29">
                  <c:v>3.2674432717064119E-9</c:v>
                </c:pt>
                <c:pt idx="30">
                  <c:v>3.2279239454161995E-9</c:v>
                </c:pt>
                <c:pt idx="31">
                  <c:v>3.1487486296121261E-9</c:v>
                </c:pt>
                <c:pt idx="32">
                  <c:v>3.0352110222685771E-9</c:v>
                </c:pt>
                <c:pt idx="33">
                  <c:v>2.8924202276805295E-9</c:v>
                </c:pt>
                <c:pt idx="34">
                  <c:v>2.7256066333490464E-9</c:v>
                </c:pt>
                <c:pt idx="35">
                  <c:v>2.540271166820204E-9</c:v>
                </c:pt>
                <c:pt idx="36">
                  <c:v>2.3422145488414195E-9</c:v>
                </c:pt>
                <c:pt idx="37">
                  <c:v>2.1374719330343555E-9</c:v>
                </c:pt>
                <c:pt idx="38">
                  <c:v>1.9321741223865477E-9</c:v>
                </c:pt>
                <c:pt idx="39">
                  <c:v>1.7323565436827407E-9</c:v>
                </c:pt>
                <c:pt idx="40">
                  <c:v>1.5437385819558826E-9</c:v>
                </c:pt>
                <c:pt idx="41">
                  <c:v>1.3714967504217609E-9</c:v>
                </c:pt>
                <c:pt idx="42">
                  <c:v>1.2200542997375495E-9</c:v>
                </c:pt>
                <c:pt idx="43">
                  <c:v>1.0929067723883483E-9</c:v>
                </c:pt>
                <c:pt idx="44">
                  <c:v>9.9249790242730752E-10</c:v>
                </c:pt>
                <c:pt idx="45">
                  <c:v>9.2015388505900787E-10</c:v>
                </c:pt>
                <c:pt idx="46">
                  <c:v>8.7585053417977581E-10</c:v>
                </c:pt>
                <c:pt idx="47">
                  <c:v>8.5922644183955673E-10</c:v>
                </c:pt>
                <c:pt idx="48">
                  <c:v>8.6814313706283725E-10</c:v>
                </c:pt>
                <c:pt idx="49">
                  <c:v>8.9990097520645484E-10</c:v>
                </c:pt>
                <c:pt idx="50">
                  <c:v>9.5110586529224593E-10</c:v>
                </c:pt>
                <c:pt idx="51">
                  <c:v>1.0178343514341187E-9</c:v>
                </c:pt>
                <c:pt idx="52">
                  <c:v>1.0958012278184852E-9</c:v>
                </c:pt>
                <c:pt idx="53">
                  <c:v>1.1805229680609916E-9</c:v>
                </c:pt>
                <c:pt idx="54">
                  <c:v>1.2674727048764365E-9</c:v>
                </c:pt>
                <c:pt idx="55">
                  <c:v>1.3522245929926533E-9</c:v>
                </c:pt>
                <c:pt idx="56">
                  <c:v>1.4305869206487191E-9</c:v>
                </c:pt>
                <c:pt idx="57">
                  <c:v>1.4987241998340106E-9</c:v>
                </c:pt>
                <c:pt idx="58">
                  <c:v>1.5532686969718747E-9</c:v>
                </c:pt>
                <c:pt idx="59">
                  <c:v>1.5914215324459657E-9</c:v>
                </c:pt>
                <c:pt idx="60">
                  <c:v>1.6110427179090902E-9</c:v>
                </c:pt>
                <c:pt idx="61">
                  <c:v>1.6107284705980192E-9</c:v>
                </c:pt>
                <c:pt idx="62">
                  <c:v>1.5898730136016897E-9</c:v>
                </c:pt>
                <c:pt idx="63">
                  <c:v>1.5487110298808839E-9</c:v>
                </c:pt>
                <c:pt idx="64">
                  <c:v>1.4883361707894874E-9</c:v>
                </c:pt>
                <c:pt idx="65">
                  <c:v>1.410690709812263E-9</c:v>
                </c:pt>
                <c:pt idx="66">
                  <c:v>1.318521733319088E-9</c:v>
                </c:pt>
                <c:pt idx="67">
                  <c:v>1.2153002809815823E-9</c:v>
                </c:pt>
                <c:pt idx="68">
                  <c:v>1.1051016273743987E-9</c:v>
                </c:pt>
                <c:pt idx="69">
                  <c:v>9.9244736115743728E-10</c:v>
                </c:pt>
                <c:pt idx="70">
                  <c:v>8.8211290691660486E-10</c:v>
                </c:pt>
                <c:pt idx="71">
                  <c:v>7.7890736333133982E-10</c:v>
                </c:pt>
                <c:pt idx="72">
                  <c:v>6.8743564421699083E-10</c:v>
                </c:pt>
                <c:pt idx="73">
                  <c:v>6.1185551830214044E-10</c:v>
                </c:pt>
                <c:pt idx="74">
                  <c:v>5.5564388303819703E-10</c:v>
                </c:pt>
                <c:pt idx="75">
                  <c:v>5.2138721814435845E-10</c:v>
                </c:pt>
                <c:pt idx="76">
                  <c:v>5.1061050973977286E-10</c:v>
                </c:pt>
                <c:pt idx="77">
                  <c:v>5.2365706342181413E-10</c:v>
                </c:pt>
                <c:pt idx="78">
                  <c:v>5.5962873521324655E-10</c:v>
                </c:pt>
                <c:pt idx="79">
                  <c:v>6.1639251996385783E-10</c:v>
                </c:pt>
                <c:pt idx="80">
                  <c:v>6.9065552271358427E-10</c:v>
                </c:pt>
                <c:pt idx="81">
                  <c:v>7.7810645779928036E-10</c:v>
                </c:pt>
                <c:pt idx="82">
                  <c:v>8.736182484774257E-10</c:v>
                </c:pt>
                <c:pt idx="83">
                  <c:v>9.7150320598310303E-10</c:v>
                </c:pt>
                <c:pt idx="84">
                  <c:v>1.0658096866593063E-9</c:v>
                </c:pt>
                <c:pt idx="85">
                  <c:v>1.1506470073847323E-9</c:v>
                </c:pt>
                <c:pt idx="86">
                  <c:v>1.2205236312482814E-9</c:v>
                </c:pt>
                <c:pt idx="87">
                  <c:v>1.2706821212697685E-9</c:v>
                </c:pt>
                <c:pt idx="88">
                  <c:v>1.297413066392101E-9</c:v>
                </c:pt>
                <c:pt idx="89">
                  <c:v>1.2983291934687359E-9</c:v>
                </c:pt>
                <c:pt idx="90">
                  <c:v>1.2725804116918324E-9</c:v>
                </c:pt>
                <c:pt idx="91">
                  <c:v>1.2209909311422069E-9</c:v>
                </c:pt>
                <c:pt idx="92">
                  <c:v>1.1461012813523455E-9</c:v>
                </c:pt>
                <c:pt idx="93">
                  <c:v>1.0521014453641281E-9</c:v>
                </c:pt>
                <c:pt idx="94">
                  <c:v>9.4464672946055908E-10</c:v>
                </c:pt>
                <c:pt idx="95">
                  <c:v>8.3055548300292887E-10</c:v>
                </c:pt>
                <c:pt idx="96">
                  <c:v>7.1739711082157003E-10</c:v>
                </c:pt>
                <c:pt idx="97">
                  <c:v>6.1298933674382019E-10</c:v>
                </c:pt>
                <c:pt idx="98">
                  <c:v>5.2483434883021211E-10</c:v>
                </c:pt>
                <c:pt idx="99">
                  <c:v>4.5953300416859669E-10</c:v>
                </c:pt>
                <c:pt idx="100">
                  <c:v>4.2222330039439324E-10</c:v>
                </c:pt>
                <c:pt idx="101">
                  <c:v>4.1609260845127434E-10</c:v>
                </c:pt>
                <c:pt idx="102">
                  <c:v>4.4201184877555088E-10</c:v>
                </c:pt>
                <c:pt idx="103">
                  <c:v>4.9833357665197592E-10</c:v>
                </c:pt>
                <c:pt idx="104">
                  <c:v>5.8088512481398677E-10</c:v>
                </c:pt>
                <c:pt idx="105">
                  <c:v>6.8317338236311831E-10</c:v>
                </c:pt>
                <c:pt idx="106">
                  <c:v>7.9680070372376052E-10</c:v>
                </c:pt>
                <c:pt idx="107">
                  <c:v>9.1207324103871416E-10</c:v>
                </c:pt>
                <c:pt idx="108">
                  <c:v>1.0187650691631093E-9</c:v>
                </c:pt>
                <c:pt idx="109">
                  <c:v>1.1069850694865079E-9</c:v>
                </c:pt>
                <c:pt idx="110">
                  <c:v>1.1680797799251023E-9</c:v>
                </c:pt>
                <c:pt idx="111">
                  <c:v>1.1954953514444371E-9</c:v>
                </c:pt>
                <c:pt idx="112">
                  <c:v>1.1855165005631762E-9</c:v>
                </c:pt>
                <c:pt idx="113">
                  <c:v>1.1378011449619943E-9</c:v>
                </c:pt>
                <c:pt idx="114">
                  <c:v>1.0556375657448216E-9</c:v>
                </c:pt>
                <c:pt idx="115">
                  <c:v>9.4586757704700113E-10</c:v>
                </c:pt>
                <c:pt idx="116">
                  <c:v>8.1844483337222296E-10</c:v>
                </c:pt>
                <c:pt idx="117">
                  <c:v>6.8563149204764927E-10</c:v>
                </c:pt>
                <c:pt idx="118">
                  <c:v>5.6087684053551447E-10</c:v>
                </c:pt>
                <c:pt idx="119">
                  <c:v>4.5746428519738742E-10</c:v>
                </c:pt>
                <c:pt idx="120">
                  <c:v>3.8705280036265804E-10</c:v>
                </c:pt>
                <c:pt idx="121">
                  <c:v>3.5826917456653796E-10</c:v>
                </c:pt>
                <c:pt idx="122">
                  <c:v>3.7552198513679589E-10</c:v>
                </c:pt>
                <c:pt idx="123">
                  <c:v>4.3820246924690395E-10</c:v>
                </c:pt>
                <c:pt idx="124">
                  <c:v>5.4040919293077847E-10</c:v>
                </c:pt>
                <c:pt idx="125">
                  <c:v>6.7128373102434702E-10</c:v>
                </c:pt>
                <c:pt idx="126">
                  <c:v>8.1597774659805214E-10</c:v>
                </c:pt>
                <c:pt idx="127">
                  <c:v>9.5719481133026049E-10</c:v>
                </c:pt>
                <c:pt idx="128">
                  <c:v>1.0771716184399846E-9</c:v>
                </c:pt>
                <c:pt idx="129">
                  <c:v>1.1598921842325645E-9</c:v>
                </c:pt>
                <c:pt idx="130">
                  <c:v>1.1932744302043573E-9</c:v>
                </c:pt>
                <c:pt idx="131">
                  <c:v>1.1710398002331711E-9</c:v>
                </c:pt>
                <c:pt idx="132">
                  <c:v>1.093980821032098E-9</c:v>
                </c:pt>
                <c:pt idx="133">
                  <c:v>9.7038434011210656E-10</c:v>
                </c:pt>
                <c:pt idx="134">
                  <c:v>8.1545182167845871E-10</c:v>
                </c:pt>
                <c:pt idx="135">
                  <c:v>6.4967953729290048E-10</c:v>
                </c:pt>
                <c:pt idx="136">
                  <c:v>4.9631062361761194E-10</c:v>
                </c:pt>
                <c:pt idx="137">
                  <c:v>3.7812959289327135E-10</c:v>
                </c:pt>
                <c:pt idx="138">
                  <c:v>3.1401275353395487E-10</c:v>
                </c:pt>
                <c:pt idx="139">
                  <c:v>3.1574637209667019E-10</c:v>
                </c:pt>
                <c:pt idx="140">
                  <c:v>3.8565176369867989E-10</c:v>
                </c:pt>
                <c:pt idx="141">
                  <c:v>5.1549513480283971E-10</c:v>
                </c:pt>
                <c:pt idx="142">
                  <c:v>6.8700666979708137E-10</c:v>
                </c:pt>
                <c:pt idx="143">
                  <c:v>8.7410199043235147E-10</c:v>
                </c:pt>
                <c:pt idx="144">
                  <c:v>1.0466199537540294E-9</c:v>
                </c:pt>
                <c:pt idx="145">
                  <c:v>1.1751061055741661E-9</c:v>
                </c:pt>
                <c:pt idx="146">
                  <c:v>1.2359292561701133E-9</c:v>
                </c:pt>
                <c:pt idx="147">
                  <c:v>1.2158672271857396E-9</c:v>
                </c:pt>
                <c:pt idx="148">
                  <c:v>1.1152772488880456E-9</c:v>
                </c:pt>
                <c:pt idx="149">
                  <c:v>9.491032069538714E-10</c:v>
                </c:pt>
                <c:pt idx="150">
                  <c:v>7.4527087335941621E-10</c:v>
                </c:pt>
                <c:pt idx="151">
                  <c:v>5.4055241394169702E-10</c:v>
                </c:pt>
                <c:pt idx="152">
                  <c:v>3.73720318956321E-10</c:v>
                </c:pt>
                <c:pt idx="153">
                  <c:v>2.7902896288829714E-10</c:v>
                </c:pt>
                <c:pt idx="154">
                  <c:v>2.7827567451334769E-10</c:v>
                </c:pt>
                <c:pt idx="155">
                  <c:v>3.7560563234082557E-10</c:v>
                </c:pt>
                <c:pt idx="156">
                  <c:v>5.5526087684586302E-10</c:v>
                </c:pt>
                <c:pt idx="157">
                  <c:v>7.8333198362467655E-10</c:v>
                </c:pt>
                <c:pt idx="158">
                  <c:v>1.0135964159504036E-9</c:v>
                </c:pt>
                <c:pt idx="159">
                  <c:v>1.1966260075917861E-9</c:v>
                </c:pt>
                <c:pt idx="160">
                  <c:v>1.2904984420742428E-9</c:v>
                </c:pt>
                <c:pt idx="161">
                  <c:v>1.2708568445521617E-9</c:v>
                </c:pt>
                <c:pt idx="162">
                  <c:v>1.1379056596171489E-9</c:v>
                </c:pt>
                <c:pt idx="163">
                  <c:v>9.1832152381965768E-10</c:v>
                </c:pt>
                <c:pt idx="164">
                  <c:v>6.6100194427696212E-10</c:v>
                </c:pt>
                <c:pt idx="165">
                  <c:v>4.2694581258206151E-10</c:v>
                </c:pt>
                <c:pt idx="166">
                  <c:v>2.7509104178135564E-10</c:v>
                </c:pt>
                <c:pt idx="167">
                  <c:v>2.4724954300122113E-10</c:v>
                </c:pt>
                <c:pt idx="168">
                  <c:v>3.5597263841214636E-10</c:v>
                </c:pt>
                <c:pt idx="169">
                  <c:v>5.7893457509202487E-10</c:v>
                </c:pt>
                <c:pt idx="170">
                  <c:v>8.6213457534544656E-10</c:v>
                </c:pt>
                <c:pt idx="171">
                  <c:v>1.1320776406743868E-9</c:v>
                </c:pt>
                <c:pt idx="172">
                  <c:v>1.3145789656505253E-9</c:v>
                </c:pt>
                <c:pt idx="173">
                  <c:v>1.3556177090363878E-9</c:v>
                </c:pt>
                <c:pt idx="174">
                  <c:v>1.2384426388972836E-9</c:v>
                </c:pt>
                <c:pt idx="175">
                  <c:v>9.9143733411931782E-10</c:v>
                </c:pt>
                <c:pt idx="176">
                  <c:v>6.8326725561271101E-10</c:v>
                </c:pt>
                <c:pt idx="177">
                  <c:v>4.0525264174841465E-10</c:v>
                </c:pt>
                <c:pt idx="178">
                  <c:v>2.4492450923036019E-10</c:v>
                </c:pt>
                <c:pt idx="179">
                  <c:v>2.5812744231753104E-10</c:v>
                </c:pt>
                <c:pt idx="180">
                  <c:v>4.4856569321743605E-10</c:v>
                </c:pt>
                <c:pt idx="181">
                  <c:v>7.6246137219226403E-10</c:v>
                </c:pt>
                <c:pt idx="182">
                  <c:v>1.1019257370179901E-9</c:v>
                </c:pt>
                <c:pt idx="183">
                  <c:v>1.3546753276196697E-9</c:v>
                </c:pt>
                <c:pt idx="184">
                  <c:v>1.4316629162192585E-9</c:v>
                </c:pt>
                <c:pt idx="185">
                  <c:v>1.3002124752797454E-9</c:v>
                </c:pt>
                <c:pt idx="186">
                  <c:v>1.0001605806275522E-9</c:v>
                </c:pt>
                <c:pt idx="187">
                  <c:v>6.3503690987447069E-10</c:v>
                </c:pt>
                <c:pt idx="188">
                  <c:v>3.3859541054801302E-10</c:v>
                </c:pt>
                <c:pt idx="189">
                  <c:v>2.2652966429525173E-10</c:v>
                </c:pt>
                <c:pt idx="190">
                  <c:v>3.5041630639440912E-10</c:v>
                </c:pt>
                <c:pt idx="191">
                  <c:v>6.724456437934079E-10</c:v>
                </c:pt>
                <c:pt idx="192">
                  <c:v>1.0736227214559745E-9</c:v>
                </c:pt>
                <c:pt idx="193">
                  <c:v>1.3960017238509645E-9</c:v>
                </c:pt>
                <c:pt idx="194">
                  <c:v>1.5052521197144445E-9</c:v>
                </c:pt>
                <c:pt idx="195">
                  <c:v>1.3492708956912118E-9</c:v>
                </c:pt>
                <c:pt idx="196">
                  <c:v>9.8694761082027458E-10</c:v>
                </c:pt>
                <c:pt idx="197">
                  <c:v>5.708601648404884E-10</c:v>
                </c:pt>
                <c:pt idx="198">
                  <c:v>2.8563401825518311E-10</c:v>
                </c:pt>
                <c:pt idx="199">
                  <c:v>2.6868392662052696E-10</c:v>
                </c:pt>
                <c:pt idx="200">
                  <c:v>5.3950808116005532E-10</c:v>
                </c:pt>
                <c:pt idx="201">
                  <c:v>9.8365563109064722E-10</c:v>
                </c:pt>
                <c:pt idx="202">
                  <c:v>1.3971780080902327E-9</c:v>
                </c:pt>
                <c:pt idx="203">
                  <c:v>1.5798441264783621E-9</c:v>
                </c:pt>
                <c:pt idx="204">
                  <c:v>1.4353636875414155E-9</c:v>
                </c:pt>
                <c:pt idx="205">
                  <c:v>1.028146890044547E-9</c:v>
                </c:pt>
                <c:pt idx="206">
                  <c:v>5.6201154969462961E-10</c:v>
                </c:pt>
                <c:pt idx="207">
                  <c:v>2.8312464934467788E-10</c:v>
                </c:pt>
                <c:pt idx="208">
                  <c:v>3.5092428617745766E-10</c:v>
                </c:pt>
                <c:pt idx="209">
                  <c:v>7.444538718300664E-10</c:v>
                </c:pt>
                <c:pt idx="210">
                  <c:v>1.2607133000399624E-9</c:v>
                </c:pt>
                <c:pt idx="211">
                  <c:v>1.6164276306407277E-9</c:v>
                </c:pt>
                <c:pt idx="212">
                  <c:v>1.6057594130305128E-9</c:v>
                </c:pt>
                <c:pt idx="213">
                  <c:v>1.2269443366948636E-9</c:v>
                </c:pt>
                <c:pt idx="214">
                  <c:v>6.9806990218726874E-10</c:v>
                </c:pt>
                <c:pt idx="215">
                  <c:v>3.3986830702464478E-10</c:v>
                </c:pt>
                <c:pt idx="216">
                  <c:v>3.8386020331021331E-10</c:v>
                </c:pt>
                <c:pt idx="217">
                  <c:v>8.1962814845567222E-10</c:v>
                </c:pt>
                <c:pt idx="218">
                  <c:v>1.3845518402641439E-9</c:v>
                </c:pt>
                <c:pt idx="219">
                  <c:v>1.7184834065204878E-9</c:v>
                </c:pt>
                <c:pt idx="220">
                  <c:v>1.5975448931922731E-9</c:v>
                </c:pt>
                <c:pt idx="221">
                  <c:v>1.095826900262458E-9</c:v>
                </c:pt>
                <c:pt idx="222">
                  <c:v>5.5457868766519041E-10</c:v>
                </c:pt>
                <c:pt idx="223">
                  <c:v>3.5981676679549723E-10</c:v>
                </c:pt>
                <c:pt idx="224">
                  <c:v>6.6813746142577078E-10</c:v>
                </c:pt>
                <c:pt idx="225">
                  <c:v>1.2766819014675505E-9</c:v>
                </c:pt>
                <c:pt idx="226">
                  <c:v>1.7499882148088289E-9</c:v>
                </c:pt>
                <c:pt idx="227">
                  <c:v>1.7344472120190438E-9</c:v>
                </c:pt>
                <c:pt idx="228">
                  <c:v>1.2364657733893979E-9</c:v>
                </c:pt>
                <c:pt idx="229">
                  <c:v>6.4107208853901297E-10</c:v>
                </c:pt>
                <c:pt idx="230">
                  <c:v>4.2881828216441719E-10</c:v>
                </c:pt>
                <c:pt idx="231">
                  <c:v>7.9095350725363501E-10</c:v>
                </c:pt>
                <c:pt idx="232">
                  <c:v>1.4525654751472066E-9</c:v>
                </c:pt>
                <c:pt idx="233">
                  <c:v>1.8748461602122569E-9</c:v>
                </c:pt>
                <c:pt idx="234">
                  <c:v>1.7007734977095189E-9</c:v>
                </c:pt>
                <c:pt idx="235">
                  <c:v>1.0779227115079718E-9</c:v>
                </c:pt>
                <c:pt idx="236">
                  <c:v>5.5795794891090978E-10</c:v>
                </c:pt>
                <c:pt idx="237">
                  <c:v>6.2194465207009906E-10</c:v>
                </c:pt>
                <c:pt idx="238">
                  <c:v>1.2334043369358587E-9</c:v>
                </c:pt>
                <c:pt idx="239">
                  <c:v>1.842438718780458E-9</c:v>
                </c:pt>
                <c:pt idx="240">
                  <c:v>1.8807982279178186E-9</c:v>
                </c:pt>
                <c:pt idx="241">
                  <c:v>1.312714503952334E-9</c:v>
                </c:pt>
                <c:pt idx="242">
                  <c:v>7.0054558586547463E-10</c:v>
                </c:pt>
                <c:pt idx="243">
                  <c:v>6.7285835677383506E-10</c:v>
                </c:pt>
                <c:pt idx="244">
                  <c:v>1.2847598595970044E-9</c:v>
                </c:pt>
                <c:pt idx="245">
                  <c:v>1.928700126862933E-9</c:v>
                </c:pt>
                <c:pt idx="246">
                  <c:v>1.9415641932469915E-9</c:v>
                </c:pt>
                <c:pt idx="247">
                  <c:v>1.3156183618746134E-9</c:v>
                </c:pt>
                <c:pt idx="248">
                  <c:v>7.4105379610543082E-10</c:v>
                </c:pt>
                <c:pt idx="249">
                  <c:v>8.7268527988781929E-10</c:v>
                </c:pt>
                <c:pt idx="250">
                  <c:v>1.5862940714368552E-9</c:v>
                </c:pt>
                <c:pt idx="251">
                  <c:v>2.0840890006330704E-9</c:v>
                </c:pt>
                <c:pt idx="252">
                  <c:v>1.7982666364625716E-9</c:v>
                </c:pt>
                <c:pt idx="253">
                  <c:v>1.0790526623628536E-9</c:v>
                </c:pt>
                <c:pt idx="254">
                  <c:v>8.1168913946243094E-10</c:v>
                </c:pt>
                <c:pt idx="255">
                  <c:v>1.3479463325636059E-9</c:v>
                </c:pt>
                <c:pt idx="256">
                  <c:v>2.0414495618870036E-9</c:v>
                </c:pt>
                <c:pt idx="257">
                  <c:v>2.0303389694795872E-9</c:v>
                </c:pt>
                <c:pt idx="258">
                  <c:v>1.3472914452651634E-9</c:v>
                </c:pt>
                <c:pt idx="259">
                  <c:v>9.1310470716453485E-10</c:v>
                </c:pt>
                <c:pt idx="260">
                  <c:v>1.3362398094241805E-9</c:v>
                </c:pt>
                <c:pt idx="261">
                  <c:v>2.0698891021929847E-9</c:v>
                </c:pt>
                <c:pt idx="262">
                  <c:v>2.1255248639113529E-9</c:v>
                </c:pt>
                <c:pt idx="263">
                  <c:v>1.4487669477738657E-9</c:v>
                </c:pt>
                <c:pt idx="264">
                  <c:v>1.0293592347735753E-9</c:v>
                </c:pt>
                <c:pt idx="265">
                  <c:v>1.4961555958055857E-9</c:v>
                </c:pt>
                <c:pt idx="266">
                  <c:v>2.1770727030796557E-9</c:v>
                </c:pt>
                <c:pt idx="267">
                  <c:v>2.0715071024236643E-9</c:v>
                </c:pt>
                <c:pt idx="268">
                  <c:v>1.3701821360161271E-9</c:v>
                </c:pt>
                <c:pt idx="269">
                  <c:v>1.19164087889462E-9</c:v>
                </c:pt>
                <c:pt idx="270">
                  <c:v>1.8412780106738045E-9</c:v>
                </c:pt>
                <c:pt idx="271">
                  <c:v>2.3009252505042522E-9</c:v>
                </c:pt>
                <c:pt idx="272">
                  <c:v>1.8554281208577195E-9</c:v>
                </c:pt>
                <c:pt idx="273">
                  <c:v>1.2824449980662963E-9</c:v>
                </c:pt>
                <c:pt idx="274">
                  <c:v>1.5768279142561125E-9</c:v>
                </c:pt>
                <c:pt idx="275">
                  <c:v>2.2566139307641888E-9</c:v>
                </c:pt>
                <c:pt idx="276">
                  <c:v>2.170443200309074E-9</c:v>
                </c:pt>
                <c:pt idx="277">
                  <c:v>1.5103761340854004E-9</c:v>
                </c:pt>
                <c:pt idx="278">
                  <c:v>1.487096392646633E-9</c:v>
                </c:pt>
                <c:pt idx="279">
                  <c:v>2.1492736036088421E-9</c:v>
                </c:pt>
                <c:pt idx="280">
                  <c:v>2.285826924729234E-9</c:v>
                </c:pt>
                <c:pt idx="281">
                  <c:v>1.6806649152658603E-9</c:v>
                </c:pt>
                <c:pt idx="282">
                  <c:v>1.5287691773681871E-9</c:v>
                </c:pt>
                <c:pt idx="283">
                  <c:v>2.1408394880991127E-9</c:v>
                </c:pt>
                <c:pt idx="284">
                  <c:v>2.3320400184635387E-9</c:v>
                </c:pt>
                <c:pt idx="285">
                  <c:v>1.7677021109044119E-9</c:v>
                </c:pt>
                <c:pt idx="286">
                  <c:v>1.6348333548876775E-9</c:v>
                </c:pt>
                <c:pt idx="287">
                  <c:v>2.2160539997148424E-9</c:v>
                </c:pt>
                <c:pt idx="288">
                  <c:v>2.3086895462992296E-9</c:v>
                </c:pt>
                <c:pt idx="289">
                  <c:v>1.7569061511292081E-9</c:v>
                </c:pt>
                <c:pt idx="290">
                  <c:v>1.7719092055183527E-9</c:v>
                </c:pt>
                <c:pt idx="291">
                  <c:v>2.3057380538746663E-9</c:v>
                </c:pt>
                <c:pt idx="292">
                  <c:v>2.1802478194461918E-9</c:v>
                </c:pt>
                <c:pt idx="293">
                  <c:v>1.7217363143307982E-9</c:v>
                </c:pt>
                <c:pt idx="294">
                  <c:v>1.9975580949586875E-9</c:v>
                </c:pt>
                <c:pt idx="295">
                  <c:v>2.3648460177250294E-9</c:v>
                </c:pt>
                <c:pt idx="296">
                  <c:v>1.990856107646833E-9</c:v>
                </c:pt>
                <c:pt idx="297">
                  <c:v>1.8030512687831811E-9</c:v>
                </c:pt>
                <c:pt idx="298">
                  <c:v>2.2415026800579565E-9</c:v>
                </c:pt>
                <c:pt idx="299">
                  <c:v>2.2191176305740547E-9</c:v>
                </c:pt>
                <c:pt idx="300">
                  <c:v>1.8140730278293976E-9</c:v>
                </c:pt>
                <c:pt idx="301">
                  <c:v>2.0339340797833649E-9</c:v>
                </c:pt>
                <c:pt idx="302">
                  <c:v>2.2736532518005039E-9</c:v>
                </c:pt>
                <c:pt idx="303">
                  <c:v>1.9158654687864576E-9</c:v>
                </c:pt>
                <c:pt idx="304">
                  <c:v>1.9070172028920263E-9</c:v>
                </c:pt>
                <c:pt idx="305">
                  <c:v>2.2331910951794223E-9</c:v>
                </c:pt>
                <c:pt idx="306">
                  <c:v>2.0025126309703328E-9</c:v>
                </c:pt>
                <c:pt idx="307">
                  <c:v>1.8481480209324004E-9</c:v>
                </c:pt>
                <c:pt idx="308">
                  <c:v>2.1472482298162693E-9</c:v>
                </c:pt>
                <c:pt idx="309">
                  <c:v>2.0184464326727651E-9</c:v>
                </c:pt>
                <c:pt idx="310">
                  <c:v>1.8109947030724985E-9</c:v>
                </c:pt>
                <c:pt idx="311">
                  <c:v>2.0561140854413316E-9</c:v>
                </c:pt>
                <c:pt idx="312">
                  <c:v>1.9741186701610002E-9</c:v>
                </c:pt>
                <c:pt idx="313">
                  <c:v>1.773441755220258E-9</c:v>
                </c:pt>
                <c:pt idx="314">
                  <c:v>1.9779092210453264E-9</c:v>
                </c:pt>
                <c:pt idx="315">
                  <c:v>1.8944938790306821E-9</c:v>
                </c:pt>
                <c:pt idx="316">
                  <c:v>1.7336271869492812E-9</c:v>
                </c:pt>
                <c:pt idx="317">
                  <c:v>1.9090194193580785E-9</c:v>
                </c:pt>
                <c:pt idx="318">
                  <c:v>1.7891821344135686E-9</c:v>
                </c:pt>
                <c:pt idx="319">
                  <c:v>1.6809312060957221E-9</c:v>
                </c:pt>
                <c:pt idx="320">
                  <c:v>1.807202333565008E-9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5.1308686894363426E-10</c:v>
                  </c:pt>
                  <c:pt idx="1">
                    <c:v>4.4091589510440594E-10</c:v>
                  </c:pt>
                  <c:pt idx="2">
                    <c:v>4.9564508734094395E-10</c:v>
                  </c:pt>
                  <c:pt idx="3">
                    <c:v>4.675965970612448E-10</c:v>
                  </c:pt>
                  <c:pt idx="4">
                    <c:v>4.499812431970882E-10</c:v>
                  </c:pt>
                  <c:pt idx="5">
                    <c:v>4.9842132733282245E-10</c:v>
                  </c:pt>
                  <c:pt idx="6">
                    <c:v>4.6956080489193004E-10</c:v>
                  </c:pt>
                  <c:pt idx="7">
                    <c:v>4.654985498013702E-10</c:v>
                  </c:pt>
                  <c:pt idx="8">
                    <c:v>4.5250910709722614E-10</c:v>
                  </c:pt>
                  <c:pt idx="9">
                    <c:v>4.7395882771569457E-10</c:v>
                  </c:pt>
                  <c:pt idx="10">
                    <c:v>4.9629641631523164E-10</c:v>
                  </c:pt>
                  <c:pt idx="11">
                    <c:v>4.7721457266472795E-10</c:v>
                  </c:pt>
                  <c:pt idx="12">
                    <c:v>4.9668090675954219E-10</c:v>
                  </c:pt>
                  <c:pt idx="13">
                    <c:v>4.8218426799196497E-10</c:v>
                  </c:pt>
                  <c:pt idx="14">
                    <c:v>4.7820502522582942E-10</c:v>
                  </c:pt>
                  <c:pt idx="15">
                    <c:v>5.1182734055504504E-10</c:v>
                  </c:pt>
                  <c:pt idx="16">
                    <c:v>3.7175929142428803E-10</c:v>
                  </c:pt>
                  <c:pt idx="17">
                    <c:v>3.6700125472698819E-10</c:v>
                  </c:pt>
                  <c:pt idx="18">
                    <c:v>3.5547638248180984E-10</c:v>
                  </c:pt>
                  <c:pt idx="19">
                    <c:v>3.575882621893603E-10</c:v>
                  </c:pt>
                  <c:pt idx="20">
                    <c:v>3.2741716122943752E-10</c:v>
                  </c:pt>
                  <c:pt idx="21">
                    <c:v>4.4164761035217605E-10</c:v>
                  </c:pt>
                  <c:pt idx="22">
                    <c:v>3.9739706327802348E-10</c:v>
                  </c:pt>
                  <c:pt idx="23">
                    <c:v>3.3716034669969314E-10</c:v>
                  </c:pt>
                  <c:pt idx="24">
                    <c:v>3.0582368456589501E-10</c:v>
                  </c:pt>
                  <c:pt idx="25">
                    <c:v>2.8575141123944634E-10</c:v>
                  </c:pt>
                  <c:pt idx="26">
                    <c:v>3.0611809158723107E-10</c:v>
                  </c:pt>
                  <c:pt idx="27">
                    <c:v>3.0037592849326897E-10</c:v>
                  </c:pt>
                  <c:pt idx="28">
                    <c:v>3.1798872395789782E-10</c:v>
                  </c:pt>
                  <c:pt idx="29">
                    <c:v>3.007386796606307E-10</c:v>
                  </c:pt>
                  <c:pt idx="30">
                    <c:v>3.1557800676814898E-10</c:v>
                  </c:pt>
                  <c:pt idx="31">
                    <c:v>2.9221697260977659E-10</c:v>
                  </c:pt>
                  <c:pt idx="32">
                    <c:v>2.9529385878707203E-10</c:v>
                  </c:pt>
                  <c:pt idx="33">
                    <c:v>2.7394446189578387E-10</c:v>
                  </c:pt>
                  <c:pt idx="34">
                    <c:v>2.5732935749316347E-10</c:v>
                  </c:pt>
                  <c:pt idx="35">
                    <c:v>2.4986092270908859E-10</c:v>
                  </c:pt>
                  <c:pt idx="36">
                    <c:v>2.2790378353129462E-10</c:v>
                  </c:pt>
                  <c:pt idx="37">
                    <c:v>1.4069758607166019E-10</c:v>
                  </c:pt>
                  <c:pt idx="38">
                    <c:v>1.3482498732920971E-10</c:v>
                  </c:pt>
                  <c:pt idx="39">
                    <c:v>1.2124005730084229E-10</c:v>
                  </c:pt>
                  <c:pt idx="40">
                    <c:v>1.1402164245661491E-10</c:v>
                  </c:pt>
                  <c:pt idx="41">
                    <c:v>1.0741453872458012E-10</c:v>
                  </c:pt>
                  <c:pt idx="42">
                    <c:v>1.1969877602378819E-10</c:v>
                  </c:pt>
                  <c:pt idx="43">
                    <c:v>1.1049862818775912E-10</c:v>
                  </c:pt>
                  <c:pt idx="44">
                    <c:v>1.0840255367763112E-10</c:v>
                  </c:pt>
                  <c:pt idx="45">
                    <c:v>1.0565602656358914E-10</c:v>
                  </c:pt>
                  <c:pt idx="46">
                    <c:v>9.9138194866424527E-11</c:v>
                  </c:pt>
                  <c:pt idx="47">
                    <c:v>1.085702863201787E-10</c:v>
                  </c:pt>
                  <c:pt idx="48">
                    <c:v>1.1086698092109902E-10</c:v>
                  </c:pt>
                  <c:pt idx="49">
                    <c:v>1.1411867894999686E-10</c:v>
                  </c:pt>
                  <c:pt idx="50">
                    <c:v>1.0429606698362038E-10</c:v>
                  </c:pt>
                  <c:pt idx="51">
                    <c:v>1.026920359845431E-10</c:v>
                  </c:pt>
                  <c:pt idx="52">
                    <c:v>1.1493207922965477E-10</c:v>
                  </c:pt>
                  <c:pt idx="53">
                    <c:v>1.1463542975887594E-10</c:v>
                  </c:pt>
                  <c:pt idx="54">
                    <c:v>1.2531900343804245E-10</c:v>
                  </c:pt>
                  <c:pt idx="55">
                    <c:v>1.1959354320700557E-10</c:v>
                  </c:pt>
                  <c:pt idx="56">
                    <c:v>1.2810232048244725E-10</c:v>
                  </c:pt>
                  <c:pt idx="57">
                    <c:v>1.3125053122923898E-10</c:v>
                  </c:pt>
                  <c:pt idx="58">
                    <c:v>1.1923746393142024E-10</c:v>
                  </c:pt>
                  <c:pt idx="59">
                    <c:v>1.1943384699281694E-10</c:v>
                  </c:pt>
                  <c:pt idx="60">
                    <c:v>1.254755655260548E-10</c:v>
                  </c:pt>
                  <c:pt idx="61">
                    <c:v>1.3154768393432052E-10</c:v>
                  </c:pt>
                  <c:pt idx="62">
                    <c:v>1.1720716283064645E-10</c:v>
                  </c:pt>
                  <c:pt idx="63">
                    <c:v>1.2048609774975372E-10</c:v>
                  </c:pt>
                  <c:pt idx="64">
                    <c:v>9.4473949756459549E-11</c:v>
                  </c:pt>
                  <c:pt idx="65">
                    <c:v>8.6043924310701508E-11</c:v>
                  </c:pt>
                  <c:pt idx="66">
                    <c:v>8.1331966798177311E-11</c:v>
                  </c:pt>
                  <c:pt idx="67">
                    <c:v>7.7176757529313269E-11</c:v>
                  </c:pt>
                  <c:pt idx="68">
                    <c:v>7.4122948152138775E-11</c:v>
                  </c:pt>
                  <c:pt idx="69">
                    <c:v>7.098323865221646E-11</c:v>
                  </c:pt>
                  <c:pt idx="70">
                    <c:v>6.9548628451063105E-11</c:v>
                  </c:pt>
                  <c:pt idx="71">
                    <c:v>9.1513939305145631E-11</c:v>
                  </c:pt>
                  <c:pt idx="72">
                    <c:v>1.0327571309097802E-10</c:v>
                  </c:pt>
                  <c:pt idx="73">
                    <c:v>9.1296366280074702E-11</c:v>
                  </c:pt>
                  <c:pt idx="74">
                    <c:v>8.7983077132042533E-11</c:v>
                  </c:pt>
                  <c:pt idx="75">
                    <c:v>8.2248768366038368E-11</c:v>
                  </c:pt>
                  <c:pt idx="76">
                    <c:v>8.2703895131484316E-11</c:v>
                  </c:pt>
                  <c:pt idx="77">
                    <c:v>9.1878918665996786E-11</c:v>
                  </c:pt>
                  <c:pt idx="78">
                    <c:v>9.0720260922789243E-11</c:v>
                  </c:pt>
                  <c:pt idx="79">
                    <c:v>1.0359284696515391E-10</c:v>
                  </c:pt>
                  <c:pt idx="80">
                    <c:v>9.9113513114504557E-11</c:v>
                  </c:pt>
                  <c:pt idx="81">
                    <c:v>1.0062953629202869E-10</c:v>
                  </c:pt>
                  <c:pt idx="82">
                    <c:v>9.7707557549165502E-11</c:v>
                  </c:pt>
                  <c:pt idx="83">
                    <c:v>1.0174335789125112E-10</c:v>
                  </c:pt>
                  <c:pt idx="84">
                    <c:v>1.1190263631165454E-10</c:v>
                  </c:pt>
                  <c:pt idx="85">
                    <c:v>1.1836689564972496E-10</c:v>
                  </c:pt>
                  <c:pt idx="86">
                    <c:v>1.2748007865375844E-10</c:v>
                  </c:pt>
                  <c:pt idx="87">
                    <c:v>1.1907015595906407E-10</c:v>
                  </c:pt>
                  <c:pt idx="88">
                    <c:v>1.2760250078759268E-10</c:v>
                  </c:pt>
                  <c:pt idx="89">
                    <c:v>1.2586917524571464E-10</c:v>
                  </c:pt>
                  <c:pt idx="90">
                    <c:v>1.2447256632820511E-10</c:v>
                  </c:pt>
                  <c:pt idx="91">
                    <c:v>1.0878924109314939E-10</c:v>
                  </c:pt>
                  <c:pt idx="92">
                    <c:v>1.1277999086518089E-10</c:v>
                  </c:pt>
                  <c:pt idx="93">
                    <c:v>1.0692577265246497E-10</c:v>
                  </c:pt>
                  <c:pt idx="94">
                    <c:v>1.008543564673145E-10</c:v>
                  </c:pt>
                  <c:pt idx="95">
                    <c:v>9.584965396488032E-11</c:v>
                  </c:pt>
                  <c:pt idx="96">
                    <c:v>9.7534857390577616E-11</c:v>
                  </c:pt>
                  <c:pt idx="97">
                    <c:v>8.7093947057414028E-11</c:v>
                  </c:pt>
                  <c:pt idx="98">
                    <c:v>9.6278331156462947E-11</c:v>
                  </c:pt>
                  <c:pt idx="99">
                    <c:v>8.3510647152202431E-11</c:v>
                  </c:pt>
                  <c:pt idx="100">
                    <c:v>7.7742707376714155E-11</c:v>
                  </c:pt>
                  <c:pt idx="101">
                    <c:v>7.0320982387480629E-11</c:v>
                  </c:pt>
                  <c:pt idx="102">
                    <c:v>7.5217508589164079E-11</c:v>
                  </c:pt>
                  <c:pt idx="103">
                    <c:v>3.760997722833018E-11</c:v>
                  </c:pt>
                  <c:pt idx="104">
                    <c:v>3.9484190981463055E-11</c:v>
                  </c:pt>
                  <c:pt idx="105">
                    <c:v>4.2310334764692293E-11</c:v>
                  </c:pt>
                  <c:pt idx="106">
                    <c:v>4.4422373560868929E-11</c:v>
                  </c:pt>
                  <c:pt idx="107">
                    <c:v>4.9962787634559155E-11</c:v>
                  </c:pt>
                  <c:pt idx="108">
                    <c:v>5.3675531776643575E-11</c:v>
                  </c:pt>
                  <c:pt idx="109">
                    <c:v>5.265056547799582E-11</c:v>
                  </c:pt>
                  <c:pt idx="110">
                    <c:v>5.3051502307492019E-11</c:v>
                  </c:pt>
                  <c:pt idx="111">
                    <c:v>5.3169977670739629E-11</c:v>
                  </c:pt>
                  <c:pt idx="112">
                    <c:v>6.16721528762144E-11</c:v>
                  </c:pt>
                  <c:pt idx="113">
                    <c:v>5.7778598334217575E-11</c:v>
                  </c:pt>
                  <c:pt idx="114">
                    <c:v>5.8426651737408004E-11</c:v>
                  </c:pt>
                  <c:pt idx="115">
                    <c:v>5.4272256966102741E-11</c:v>
                  </c:pt>
                  <c:pt idx="116">
                    <c:v>4.5924339244004553E-11</c:v>
                  </c:pt>
                  <c:pt idx="117">
                    <c:v>4.7841853032926974E-11</c:v>
                  </c:pt>
                  <c:pt idx="118">
                    <c:v>4.5678700354302507E-11</c:v>
                  </c:pt>
                  <c:pt idx="119">
                    <c:v>4.0879453230450987E-11</c:v>
                  </c:pt>
                  <c:pt idx="120">
                    <c:v>4.280485091644666E-11</c:v>
                  </c:pt>
                  <c:pt idx="121">
                    <c:v>4.3501766771194945E-11</c:v>
                  </c:pt>
                  <c:pt idx="122">
                    <c:v>3.9908555730743878E-11</c:v>
                  </c:pt>
                  <c:pt idx="123">
                    <c:v>4.4220301012099988E-11</c:v>
                  </c:pt>
                  <c:pt idx="124">
                    <c:v>4.6473303495846861E-11</c:v>
                  </c:pt>
                  <c:pt idx="125">
                    <c:v>5.1280272356847136E-11</c:v>
                  </c:pt>
                  <c:pt idx="126">
                    <c:v>5.4091205177163271E-11</c:v>
                  </c:pt>
                  <c:pt idx="127">
                    <c:v>6.692938448599985E-11</c:v>
                  </c:pt>
                  <c:pt idx="128">
                    <c:v>6.4409611285918548E-11</c:v>
                  </c:pt>
                  <c:pt idx="129">
                    <c:v>5.9534984981783003E-11</c:v>
                  </c:pt>
                  <c:pt idx="130">
                    <c:v>6.635291307641279E-11</c:v>
                  </c:pt>
                  <c:pt idx="131">
                    <c:v>6.6976662379810922E-11</c:v>
                  </c:pt>
                  <c:pt idx="132">
                    <c:v>6.8594383034231263E-11</c:v>
                  </c:pt>
                  <c:pt idx="133">
                    <c:v>7.2272304864348589E-11</c:v>
                  </c:pt>
                  <c:pt idx="134">
                    <c:v>6.2666430991307899E-11</c:v>
                  </c:pt>
                  <c:pt idx="135">
                    <c:v>5.7739785606660741E-11</c:v>
                  </c:pt>
                  <c:pt idx="136">
                    <c:v>6.1461892791904481E-11</c:v>
                  </c:pt>
                  <c:pt idx="137">
                    <c:v>5.4816752540315885E-11</c:v>
                  </c:pt>
                  <c:pt idx="138">
                    <c:v>5.3578451949234306E-11</c:v>
                  </c:pt>
                  <c:pt idx="139">
                    <c:v>5.3208434455271573E-11</c:v>
                  </c:pt>
                  <c:pt idx="140">
                    <c:v>6.9298753893429954E-11</c:v>
                  </c:pt>
                  <c:pt idx="141">
                    <c:v>6.5926515863747072E-11</c:v>
                  </c:pt>
                  <c:pt idx="142">
                    <c:v>6.8457065216972144E-11</c:v>
                  </c:pt>
                  <c:pt idx="143">
                    <c:v>7.604555685961234E-11</c:v>
                  </c:pt>
                  <c:pt idx="144">
                    <c:v>7.9255167970890657E-11</c:v>
                  </c:pt>
                  <c:pt idx="145">
                    <c:v>7.9869386734729103E-11</c:v>
                  </c:pt>
                  <c:pt idx="146">
                    <c:v>9.3738269138390735E-11</c:v>
                  </c:pt>
                  <c:pt idx="147">
                    <c:v>8.6661325913551668E-11</c:v>
                  </c:pt>
                  <c:pt idx="148">
                    <c:v>8.37593155367974E-11</c:v>
                  </c:pt>
                  <c:pt idx="149">
                    <c:v>8.2152204279681528E-11</c:v>
                  </c:pt>
                  <c:pt idx="150">
                    <c:v>8.2440628968237411E-11</c:v>
                  </c:pt>
                  <c:pt idx="151">
                    <c:v>7.9307697749117643E-11</c:v>
                  </c:pt>
                  <c:pt idx="152">
                    <c:v>7.4954298391559058E-11</c:v>
                  </c:pt>
                  <c:pt idx="153">
                    <c:v>7.0476838713953696E-11</c:v>
                  </c:pt>
                  <c:pt idx="154">
                    <c:v>7.6824934188740751E-11</c:v>
                  </c:pt>
                  <c:pt idx="155">
                    <c:v>7.4645317527892269E-11</c:v>
                  </c:pt>
                  <c:pt idx="156">
                    <c:v>7.3479460971599575E-11</c:v>
                  </c:pt>
                  <c:pt idx="157">
                    <c:v>8.5030390677679073E-11</c:v>
                  </c:pt>
                  <c:pt idx="158">
                    <c:v>8.2946252401074265E-11</c:v>
                  </c:pt>
                  <c:pt idx="159">
                    <c:v>9.1942692378376282E-11</c:v>
                  </c:pt>
                  <c:pt idx="160">
                    <c:v>9.2533561220810394E-11</c:v>
                  </c:pt>
                  <c:pt idx="161">
                    <c:v>8.8040055296378723E-11</c:v>
                  </c:pt>
                  <c:pt idx="162">
                    <c:v>1.0039068341389992E-10</c:v>
                  </c:pt>
                  <c:pt idx="163">
                    <c:v>9.9428478009162511E-11</c:v>
                  </c:pt>
                  <c:pt idx="164">
                    <c:v>8.9066974131576228E-11</c:v>
                  </c:pt>
                  <c:pt idx="165">
                    <c:v>1.0927299121069707E-10</c:v>
                  </c:pt>
                  <c:pt idx="166">
                    <c:v>8.6080798263287708E-11</c:v>
                  </c:pt>
                  <c:pt idx="167">
                    <c:v>8.8809098492278096E-11</c:v>
                  </c:pt>
                  <c:pt idx="168">
                    <c:v>1.0028973955742048E-10</c:v>
                  </c:pt>
                  <c:pt idx="169">
                    <c:v>1.0742898346638303E-10</c:v>
                  </c:pt>
                  <c:pt idx="170">
                    <c:v>4.7003007047301616E-11</c:v>
                  </c:pt>
                  <c:pt idx="171">
                    <c:v>4.7740640955799155E-11</c:v>
                  </c:pt>
                  <c:pt idx="172">
                    <c:v>5.4174465870771904E-11</c:v>
                  </c:pt>
                  <c:pt idx="173">
                    <c:v>5.1742293434307051E-11</c:v>
                  </c:pt>
                  <c:pt idx="174">
                    <c:v>5.1716386750289604E-11</c:v>
                  </c:pt>
                  <c:pt idx="175">
                    <c:v>5.2400669479848546E-11</c:v>
                  </c:pt>
                  <c:pt idx="176">
                    <c:v>4.3357324474046339E-11</c:v>
                  </c:pt>
                  <c:pt idx="177">
                    <c:v>4.559847966304782E-11</c:v>
                  </c:pt>
                  <c:pt idx="178">
                    <c:v>4.5077997294167464E-11</c:v>
                  </c:pt>
                  <c:pt idx="179">
                    <c:v>4.2774870830367104E-11</c:v>
                  </c:pt>
                  <c:pt idx="180">
                    <c:v>4.5701990055543905E-11</c:v>
                  </c:pt>
                  <c:pt idx="181">
                    <c:v>4.8711420078678949E-11</c:v>
                  </c:pt>
                  <c:pt idx="182">
                    <c:v>4.9847052280046758E-11</c:v>
                  </c:pt>
                  <c:pt idx="183">
                    <c:v>5.4029783048550846E-11</c:v>
                  </c:pt>
                  <c:pt idx="184">
                    <c:v>5.3332755317174863E-11</c:v>
                  </c:pt>
                  <c:pt idx="185">
                    <c:v>5.5863956737286751E-11</c:v>
                  </c:pt>
                  <c:pt idx="186">
                    <c:v>5.4987232514253786E-11</c:v>
                  </c:pt>
                  <c:pt idx="187">
                    <c:v>5.5481364789598331E-11</c:v>
                  </c:pt>
                  <c:pt idx="188">
                    <c:v>5.3488614989609974E-11</c:v>
                  </c:pt>
                  <c:pt idx="189">
                    <c:v>5.1386939122454493E-11</c:v>
                  </c:pt>
                  <c:pt idx="190">
                    <c:v>6.2065607120798861E-11</c:v>
                  </c:pt>
                  <c:pt idx="191">
                    <c:v>5.8528584509340043E-11</c:v>
                  </c:pt>
                  <c:pt idx="192">
                    <c:v>6.2181327261786375E-11</c:v>
                  </c:pt>
                  <c:pt idx="193">
                    <c:v>6.9127258876487406E-11</c:v>
                  </c:pt>
                  <c:pt idx="194">
                    <c:v>7.6702208407091134E-11</c:v>
                  </c:pt>
                  <c:pt idx="195">
                    <c:v>6.3219580661082157E-11</c:v>
                  </c:pt>
                  <c:pt idx="196">
                    <c:v>6.6368183662019208E-11</c:v>
                  </c:pt>
                  <c:pt idx="197">
                    <c:v>6.4763993748156678E-11</c:v>
                  </c:pt>
                  <c:pt idx="198">
                    <c:v>7.2251460188161875E-11</c:v>
                  </c:pt>
                  <c:pt idx="199">
                    <c:v>6.7565320454117173E-11</c:v>
                  </c:pt>
                  <c:pt idx="200">
                    <c:v>7.4686334487903223E-11</c:v>
                  </c:pt>
                  <c:pt idx="201">
                    <c:v>7.107871500329518E-11</c:v>
                  </c:pt>
                  <c:pt idx="202">
                    <c:v>7.2591840542361927E-11</c:v>
                  </c:pt>
                  <c:pt idx="203">
                    <c:v>7.8557684787195366E-11</c:v>
                  </c:pt>
                  <c:pt idx="204">
                    <c:v>7.9853311227685282E-11</c:v>
                  </c:pt>
                  <c:pt idx="205">
                    <c:v>8.1595042091650851E-11</c:v>
                  </c:pt>
                  <c:pt idx="206">
                    <c:v>7.8695284697517029E-11</c:v>
                  </c:pt>
                  <c:pt idx="207">
                    <c:v>7.6298653318142015E-11</c:v>
                  </c:pt>
                  <c:pt idx="208">
                    <c:v>9.6340493646145111E-11</c:v>
                  </c:pt>
                  <c:pt idx="209">
                    <c:v>9.4196716197456115E-11</c:v>
                  </c:pt>
                  <c:pt idx="210">
                    <c:v>9.9991765271790055E-11</c:v>
                  </c:pt>
                  <c:pt idx="211">
                    <c:v>9.5918087669477043E-11</c:v>
                  </c:pt>
                  <c:pt idx="212">
                    <c:v>9.8149255184890837E-11</c:v>
                  </c:pt>
                  <c:pt idx="213">
                    <c:v>1.0887870926802748E-10</c:v>
                  </c:pt>
                  <c:pt idx="214">
                    <c:v>1.155867014645721E-10</c:v>
                  </c:pt>
                  <c:pt idx="215">
                    <c:v>8.8699456871693861E-11</c:v>
                  </c:pt>
                  <c:pt idx="216">
                    <c:v>1.0386118537589056E-10</c:v>
                  </c:pt>
                  <c:pt idx="217">
                    <c:v>1.0241954223146109E-10</c:v>
                  </c:pt>
                  <c:pt idx="218">
                    <c:v>1.1202046116489744E-10</c:v>
                  </c:pt>
                  <c:pt idx="219">
                    <c:v>1.0920716303397603E-10</c:v>
                  </c:pt>
                  <c:pt idx="220">
                    <c:v>1.0909328215096269E-10</c:v>
                  </c:pt>
                  <c:pt idx="221">
                    <c:v>1.1123608521475528E-10</c:v>
                  </c:pt>
                  <c:pt idx="222">
                    <c:v>1.0285863825848468E-10</c:v>
                  </c:pt>
                  <c:pt idx="223">
                    <c:v>1.1510757362410412E-10</c:v>
                  </c:pt>
                  <c:pt idx="224">
                    <c:v>1.1627581991011985E-10</c:v>
                  </c:pt>
                  <c:pt idx="225">
                    <c:v>1.2790389639156434E-10</c:v>
                  </c:pt>
                  <c:pt idx="226">
                    <c:v>1.3791324414488229E-10</c:v>
                  </c:pt>
                  <c:pt idx="227">
                    <c:v>1.3275388273186615E-10</c:v>
                  </c:pt>
                  <c:pt idx="228">
                    <c:v>1.3172592352731606E-10</c:v>
                  </c:pt>
                  <c:pt idx="229">
                    <c:v>1.3763985955945948E-10</c:v>
                  </c:pt>
                  <c:pt idx="230">
                    <c:v>1.4048118507340049E-10</c:v>
                  </c:pt>
                  <c:pt idx="231">
                    <c:v>1.3006799078143188E-10</c:v>
                  </c:pt>
                  <c:pt idx="232">
                    <c:v>1.6262137213704867E-10</c:v>
                  </c:pt>
                  <c:pt idx="233">
                    <c:v>1.5946145579301656E-10</c:v>
                  </c:pt>
                  <c:pt idx="234">
                    <c:v>1.4089365527547564E-10</c:v>
                  </c:pt>
                  <c:pt idx="235">
                    <c:v>1.5113856593392491E-10</c:v>
                  </c:pt>
                  <c:pt idx="236">
                    <c:v>1.5592159791390518E-10</c:v>
                  </c:pt>
                  <c:pt idx="237">
                    <c:v>1.5871206778486218E-10</c:v>
                  </c:pt>
                  <c:pt idx="238">
                    <c:v>7.179950909559488E-11</c:v>
                  </c:pt>
                  <c:pt idx="239">
                    <c:v>7.7900271473727608E-11</c:v>
                  </c:pt>
                  <c:pt idx="240">
                    <c:v>8.8103289122119637E-11</c:v>
                  </c:pt>
                  <c:pt idx="241">
                    <c:v>8.4993910677361392E-11</c:v>
                  </c:pt>
                  <c:pt idx="242">
                    <c:v>9.0116090814064022E-11</c:v>
                  </c:pt>
                  <c:pt idx="243">
                    <c:v>8.7843622477755366E-11</c:v>
                  </c:pt>
                  <c:pt idx="244">
                    <c:v>8.146591059555114E-11</c:v>
                  </c:pt>
                  <c:pt idx="245">
                    <c:v>8.3391107420931452E-11</c:v>
                  </c:pt>
                  <c:pt idx="246">
                    <c:v>8.8629194470014566E-11</c:v>
                  </c:pt>
                  <c:pt idx="247">
                    <c:v>9.0679532178682637E-11</c:v>
                  </c:pt>
                  <c:pt idx="248">
                    <c:v>8.1675233962263075E-11</c:v>
                  </c:pt>
                  <c:pt idx="249">
                    <c:v>9.4866638061595309E-11</c:v>
                  </c:pt>
                  <c:pt idx="250">
                    <c:v>8.6515333702301184E-11</c:v>
                  </c:pt>
                  <c:pt idx="251">
                    <c:v>9.5141043274422204E-11</c:v>
                  </c:pt>
                  <c:pt idx="252">
                    <c:v>9.3668117780122272E-11</c:v>
                  </c:pt>
                  <c:pt idx="253">
                    <c:v>1.0277480676106789E-10</c:v>
                  </c:pt>
                  <c:pt idx="254">
                    <c:v>9.5912787142898018E-11</c:v>
                  </c:pt>
                  <c:pt idx="255">
                    <c:v>1.157718171374949E-10</c:v>
                  </c:pt>
                  <c:pt idx="256">
                    <c:v>1.1345260033072964E-10</c:v>
                  </c:pt>
                  <c:pt idx="257">
                    <c:v>1.1409287133643313E-10</c:v>
                  </c:pt>
                  <c:pt idx="258">
                    <c:v>1.2123303877067941E-10</c:v>
                  </c:pt>
                  <c:pt idx="259">
                    <c:v>1.2299020767436378E-10</c:v>
                  </c:pt>
                  <c:pt idx="260">
                    <c:v>1.1473946044472086E-10</c:v>
                  </c:pt>
                  <c:pt idx="261">
                    <c:v>1.2742131095827502E-10</c:v>
                  </c:pt>
                  <c:pt idx="262">
                    <c:v>1.3309284614307875E-10</c:v>
                  </c:pt>
                  <c:pt idx="263">
                    <c:v>1.2765270428468383E-10</c:v>
                  </c:pt>
                  <c:pt idx="264">
                    <c:v>1.289001027500025E-10</c:v>
                  </c:pt>
                  <c:pt idx="265">
                    <c:v>1.3069527611047965E-10</c:v>
                  </c:pt>
                  <c:pt idx="266">
                    <c:v>1.3433744221252768E-10</c:v>
                  </c:pt>
                  <c:pt idx="267">
                    <c:v>1.3227889486129223E-10</c:v>
                  </c:pt>
                  <c:pt idx="268">
                    <c:v>1.5358139379825126E-10</c:v>
                  </c:pt>
                  <c:pt idx="269">
                    <c:v>1.3903862654386974E-10</c:v>
                  </c:pt>
                  <c:pt idx="270">
                    <c:v>1.3670920356374328E-10</c:v>
                  </c:pt>
                  <c:pt idx="271">
                    <c:v>1.447461977752039E-10</c:v>
                  </c:pt>
                  <c:pt idx="272">
                    <c:v>1.5011431091147081E-10</c:v>
                  </c:pt>
                  <c:pt idx="273">
                    <c:v>1.5601553479983269E-10</c:v>
                  </c:pt>
                  <c:pt idx="274">
                    <c:v>1.5688146675342527E-10</c:v>
                  </c:pt>
                  <c:pt idx="275">
                    <c:v>1.617300132333524E-10</c:v>
                  </c:pt>
                  <c:pt idx="276">
                    <c:v>1.8333928379023975E-10</c:v>
                  </c:pt>
                  <c:pt idx="277">
                    <c:v>1.9124643460796527E-10</c:v>
                  </c:pt>
                  <c:pt idx="278">
                    <c:v>1.6918029586277081E-10</c:v>
                  </c:pt>
                  <c:pt idx="279">
                    <c:v>1.855687444491398E-10</c:v>
                  </c:pt>
                  <c:pt idx="280">
                    <c:v>1.7845413825598824E-10</c:v>
                  </c:pt>
                  <c:pt idx="281">
                    <c:v>1.9964498256989512E-10</c:v>
                  </c:pt>
                  <c:pt idx="282">
                    <c:v>1.9334668092117933E-10</c:v>
                  </c:pt>
                  <c:pt idx="283">
                    <c:v>1.9597341014430312E-10</c:v>
                  </c:pt>
                  <c:pt idx="284">
                    <c:v>1.8571696709987107E-10</c:v>
                  </c:pt>
                  <c:pt idx="285">
                    <c:v>1.9293359612182081E-10</c:v>
                  </c:pt>
                  <c:pt idx="286">
                    <c:v>2.0614395768743471E-10</c:v>
                  </c:pt>
                  <c:pt idx="287">
                    <c:v>2.183168301428401E-10</c:v>
                  </c:pt>
                  <c:pt idx="288">
                    <c:v>2.0569972868066133E-10</c:v>
                  </c:pt>
                  <c:pt idx="289">
                    <c:v>1.9577131025749471E-10</c:v>
                  </c:pt>
                  <c:pt idx="290">
                    <c:v>2.1412071788544877E-10</c:v>
                  </c:pt>
                  <c:pt idx="291">
                    <c:v>2.3544445624194299E-10</c:v>
                  </c:pt>
                  <c:pt idx="292">
                    <c:v>2.2799642831062785E-10</c:v>
                  </c:pt>
                  <c:pt idx="293">
                    <c:v>2.4089842306424277E-10</c:v>
                  </c:pt>
                  <c:pt idx="294">
                    <c:v>2.5174250103974537E-10</c:v>
                  </c:pt>
                  <c:pt idx="295">
                    <c:v>2.4321717743911874E-10</c:v>
                  </c:pt>
                  <c:pt idx="296">
                    <c:v>2.1808276734604427E-10</c:v>
                  </c:pt>
                  <c:pt idx="297">
                    <c:v>2.6377899677354463E-10</c:v>
                  </c:pt>
                  <c:pt idx="298">
                    <c:v>2.785767846962742E-10</c:v>
                  </c:pt>
                  <c:pt idx="299">
                    <c:v>2.7479921584298508E-10</c:v>
                  </c:pt>
                  <c:pt idx="300">
                    <c:v>2.4818233654632686E-10</c:v>
                  </c:pt>
                  <c:pt idx="301">
                    <c:v>2.4465140689105744E-10</c:v>
                  </c:pt>
                  <c:pt idx="302">
                    <c:v>2.7406089004725297E-10</c:v>
                  </c:pt>
                  <c:pt idx="303">
                    <c:v>2.7570286299226554E-10</c:v>
                  </c:pt>
                  <c:pt idx="304">
                    <c:v>3.094138741661013E-10</c:v>
                  </c:pt>
                  <c:pt idx="305">
                    <c:v>3.0168587560621787E-10</c:v>
                  </c:pt>
                  <c:pt idx="306">
                    <c:v>2.9319515739407101E-10</c:v>
                  </c:pt>
                  <c:pt idx="307">
                    <c:v>3.2844615346795699E-10</c:v>
                  </c:pt>
                  <c:pt idx="308">
                    <c:v>3.292918085331736E-10</c:v>
                  </c:pt>
                  <c:pt idx="309">
                    <c:v>3.4734408533509388E-10</c:v>
                  </c:pt>
                  <c:pt idx="310">
                    <c:v>3.3838754092641769E-10</c:v>
                  </c:pt>
                  <c:pt idx="311">
                    <c:v>3.8865662229059419E-10</c:v>
                  </c:pt>
                  <c:pt idx="312">
                    <c:v>3.588981468484656E-10</c:v>
                  </c:pt>
                  <c:pt idx="313">
                    <c:v>3.6193583147082171E-10</c:v>
                  </c:pt>
                  <c:pt idx="314">
                    <c:v>3.4639811306924303E-10</c:v>
                  </c:pt>
                  <c:pt idx="315">
                    <c:v>3.9936771316221193E-10</c:v>
                  </c:pt>
                  <c:pt idx="316">
                    <c:v>4.0569801481751879E-10</c:v>
                  </c:pt>
                  <c:pt idx="317">
                    <c:v>3.6935358527944743E-10</c:v>
                  </c:pt>
                  <c:pt idx="318">
                    <c:v>3.7523412845431051E-10</c:v>
                  </c:pt>
                  <c:pt idx="319">
                    <c:v>4.4167179314297127E-10</c:v>
                  </c:pt>
                  <c:pt idx="320">
                    <c:v>4.3235166055253702E-10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5.1308686894363426E-10</c:v>
                  </c:pt>
                  <c:pt idx="1">
                    <c:v>4.4091589510440594E-10</c:v>
                  </c:pt>
                  <c:pt idx="2">
                    <c:v>4.9564508734094395E-10</c:v>
                  </c:pt>
                  <c:pt idx="3">
                    <c:v>4.675965970612448E-10</c:v>
                  </c:pt>
                  <c:pt idx="4">
                    <c:v>4.499812431970882E-10</c:v>
                  </c:pt>
                  <c:pt idx="5">
                    <c:v>4.9842132733282245E-10</c:v>
                  </c:pt>
                  <c:pt idx="6">
                    <c:v>4.6956080489193004E-10</c:v>
                  </c:pt>
                  <c:pt idx="7">
                    <c:v>4.654985498013702E-10</c:v>
                  </c:pt>
                  <c:pt idx="8">
                    <c:v>4.5250910709722614E-10</c:v>
                  </c:pt>
                  <c:pt idx="9">
                    <c:v>4.7395882771569457E-10</c:v>
                  </c:pt>
                  <c:pt idx="10">
                    <c:v>4.9629641631523164E-10</c:v>
                  </c:pt>
                  <c:pt idx="11">
                    <c:v>4.7721457266472795E-10</c:v>
                  </c:pt>
                  <c:pt idx="12">
                    <c:v>4.9668090675954219E-10</c:v>
                  </c:pt>
                  <c:pt idx="13">
                    <c:v>4.8218426799196497E-10</c:v>
                  </c:pt>
                  <c:pt idx="14">
                    <c:v>4.7820502522582942E-10</c:v>
                  </c:pt>
                  <c:pt idx="15">
                    <c:v>5.1182734055504504E-10</c:v>
                  </c:pt>
                  <c:pt idx="16">
                    <c:v>3.7175929142428803E-10</c:v>
                  </c:pt>
                  <c:pt idx="17">
                    <c:v>3.6700125472698819E-10</c:v>
                  </c:pt>
                  <c:pt idx="18">
                    <c:v>3.5547638248180984E-10</c:v>
                  </c:pt>
                  <c:pt idx="19">
                    <c:v>3.575882621893603E-10</c:v>
                  </c:pt>
                  <c:pt idx="20">
                    <c:v>3.2741716122943752E-10</c:v>
                  </c:pt>
                  <c:pt idx="21">
                    <c:v>4.4164761035217605E-10</c:v>
                  </c:pt>
                  <c:pt idx="22">
                    <c:v>3.9739706327802348E-10</c:v>
                  </c:pt>
                  <c:pt idx="23">
                    <c:v>3.3716034669969314E-10</c:v>
                  </c:pt>
                  <c:pt idx="24">
                    <c:v>3.0582368456589501E-10</c:v>
                  </c:pt>
                  <c:pt idx="25">
                    <c:v>2.8575141123944634E-10</c:v>
                  </c:pt>
                  <c:pt idx="26">
                    <c:v>3.0611809158723107E-10</c:v>
                  </c:pt>
                  <c:pt idx="27">
                    <c:v>3.0037592849326897E-10</c:v>
                  </c:pt>
                  <c:pt idx="28">
                    <c:v>3.1798872395789782E-10</c:v>
                  </c:pt>
                  <c:pt idx="29">
                    <c:v>3.007386796606307E-10</c:v>
                  </c:pt>
                  <c:pt idx="30">
                    <c:v>3.1557800676814898E-10</c:v>
                  </c:pt>
                  <c:pt idx="31">
                    <c:v>2.9221697260977659E-10</c:v>
                  </c:pt>
                  <c:pt idx="32">
                    <c:v>2.9529385878707203E-10</c:v>
                  </c:pt>
                  <c:pt idx="33">
                    <c:v>2.7394446189578387E-10</c:v>
                  </c:pt>
                  <c:pt idx="34">
                    <c:v>2.5732935749316347E-10</c:v>
                  </c:pt>
                  <c:pt idx="35">
                    <c:v>2.4986092270908859E-10</c:v>
                  </c:pt>
                  <c:pt idx="36">
                    <c:v>2.2790378353129462E-10</c:v>
                  </c:pt>
                  <c:pt idx="37">
                    <c:v>1.4069758607166019E-10</c:v>
                  </c:pt>
                  <c:pt idx="38">
                    <c:v>1.3482498732920971E-10</c:v>
                  </c:pt>
                  <c:pt idx="39">
                    <c:v>1.2124005730084229E-10</c:v>
                  </c:pt>
                  <c:pt idx="40">
                    <c:v>1.1402164245661491E-10</c:v>
                  </c:pt>
                  <c:pt idx="41">
                    <c:v>1.0741453872458012E-10</c:v>
                  </c:pt>
                  <c:pt idx="42">
                    <c:v>1.1969877602378819E-10</c:v>
                  </c:pt>
                  <c:pt idx="43">
                    <c:v>1.1049862818775912E-10</c:v>
                  </c:pt>
                  <c:pt idx="44">
                    <c:v>1.0840255367763112E-10</c:v>
                  </c:pt>
                  <c:pt idx="45">
                    <c:v>1.0565602656358914E-10</c:v>
                  </c:pt>
                  <c:pt idx="46">
                    <c:v>9.9138194866424527E-11</c:v>
                  </c:pt>
                  <c:pt idx="47">
                    <c:v>1.085702863201787E-10</c:v>
                  </c:pt>
                  <c:pt idx="48">
                    <c:v>1.1086698092109902E-10</c:v>
                  </c:pt>
                  <c:pt idx="49">
                    <c:v>1.1411867894999686E-10</c:v>
                  </c:pt>
                  <c:pt idx="50">
                    <c:v>1.0429606698362038E-10</c:v>
                  </c:pt>
                  <c:pt idx="51">
                    <c:v>1.026920359845431E-10</c:v>
                  </c:pt>
                  <c:pt idx="52">
                    <c:v>1.1493207922965477E-10</c:v>
                  </c:pt>
                  <c:pt idx="53">
                    <c:v>1.1463542975887594E-10</c:v>
                  </c:pt>
                  <c:pt idx="54">
                    <c:v>1.2531900343804245E-10</c:v>
                  </c:pt>
                  <c:pt idx="55">
                    <c:v>1.1959354320700557E-10</c:v>
                  </c:pt>
                  <c:pt idx="56">
                    <c:v>1.2810232048244725E-10</c:v>
                  </c:pt>
                  <c:pt idx="57">
                    <c:v>1.3125053122923898E-10</c:v>
                  </c:pt>
                  <c:pt idx="58">
                    <c:v>1.1923746393142024E-10</c:v>
                  </c:pt>
                  <c:pt idx="59">
                    <c:v>1.1943384699281694E-10</c:v>
                  </c:pt>
                  <c:pt idx="60">
                    <c:v>1.254755655260548E-10</c:v>
                  </c:pt>
                  <c:pt idx="61">
                    <c:v>1.3154768393432052E-10</c:v>
                  </c:pt>
                  <c:pt idx="62">
                    <c:v>1.1720716283064645E-10</c:v>
                  </c:pt>
                  <c:pt idx="63">
                    <c:v>1.2048609774975372E-10</c:v>
                  </c:pt>
                  <c:pt idx="64">
                    <c:v>9.4473949756459549E-11</c:v>
                  </c:pt>
                  <c:pt idx="65">
                    <c:v>8.6043924310701508E-11</c:v>
                  </c:pt>
                  <c:pt idx="66">
                    <c:v>8.1331966798177311E-11</c:v>
                  </c:pt>
                  <c:pt idx="67">
                    <c:v>7.7176757529313269E-11</c:v>
                  </c:pt>
                  <c:pt idx="68">
                    <c:v>7.4122948152138775E-11</c:v>
                  </c:pt>
                  <c:pt idx="69">
                    <c:v>7.098323865221646E-11</c:v>
                  </c:pt>
                  <c:pt idx="70">
                    <c:v>6.9548628451063105E-11</c:v>
                  </c:pt>
                  <c:pt idx="71">
                    <c:v>9.1513939305145631E-11</c:v>
                  </c:pt>
                  <c:pt idx="72">
                    <c:v>1.0327571309097802E-10</c:v>
                  </c:pt>
                  <c:pt idx="73">
                    <c:v>9.1296366280074702E-11</c:v>
                  </c:pt>
                  <c:pt idx="74">
                    <c:v>8.7983077132042533E-11</c:v>
                  </c:pt>
                  <c:pt idx="75">
                    <c:v>8.2248768366038368E-11</c:v>
                  </c:pt>
                  <c:pt idx="76">
                    <c:v>8.2703895131484316E-11</c:v>
                  </c:pt>
                  <c:pt idx="77">
                    <c:v>9.1878918665996786E-11</c:v>
                  </c:pt>
                  <c:pt idx="78">
                    <c:v>9.0720260922789243E-11</c:v>
                  </c:pt>
                  <c:pt idx="79">
                    <c:v>1.0359284696515391E-10</c:v>
                  </c:pt>
                  <c:pt idx="80">
                    <c:v>9.9113513114504557E-11</c:v>
                  </c:pt>
                  <c:pt idx="81">
                    <c:v>1.0062953629202869E-10</c:v>
                  </c:pt>
                  <c:pt idx="82">
                    <c:v>9.7707557549165502E-11</c:v>
                  </c:pt>
                  <c:pt idx="83">
                    <c:v>1.0174335789125112E-10</c:v>
                  </c:pt>
                  <c:pt idx="84">
                    <c:v>1.1190263631165454E-10</c:v>
                  </c:pt>
                  <c:pt idx="85">
                    <c:v>1.1836689564972496E-10</c:v>
                  </c:pt>
                  <c:pt idx="86">
                    <c:v>1.2748007865375844E-10</c:v>
                  </c:pt>
                  <c:pt idx="87">
                    <c:v>1.1907015595906407E-10</c:v>
                  </c:pt>
                  <c:pt idx="88">
                    <c:v>1.2760250078759268E-10</c:v>
                  </c:pt>
                  <c:pt idx="89">
                    <c:v>1.2586917524571464E-10</c:v>
                  </c:pt>
                  <c:pt idx="90">
                    <c:v>1.2447256632820511E-10</c:v>
                  </c:pt>
                  <c:pt idx="91">
                    <c:v>1.0878924109314939E-10</c:v>
                  </c:pt>
                  <c:pt idx="92">
                    <c:v>1.1277999086518089E-10</c:v>
                  </c:pt>
                  <c:pt idx="93">
                    <c:v>1.0692577265246497E-10</c:v>
                  </c:pt>
                  <c:pt idx="94">
                    <c:v>1.008543564673145E-10</c:v>
                  </c:pt>
                  <c:pt idx="95">
                    <c:v>9.584965396488032E-11</c:v>
                  </c:pt>
                  <c:pt idx="96">
                    <c:v>9.7534857390577616E-11</c:v>
                  </c:pt>
                  <c:pt idx="97">
                    <c:v>8.7093947057414028E-11</c:v>
                  </c:pt>
                  <c:pt idx="98">
                    <c:v>9.6278331156462947E-11</c:v>
                  </c:pt>
                  <c:pt idx="99">
                    <c:v>8.3510647152202431E-11</c:v>
                  </c:pt>
                  <c:pt idx="100">
                    <c:v>7.7742707376714155E-11</c:v>
                  </c:pt>
                  <c:pt idx="101">
                    <c:v>7.0320982387480629E-11</c:v>
                  </c:pt>
                  <c:pt idx="102">
                    <c:v>7.5217508589164079E-11</c:v>
                  </c:pt>
                  <c:pt idx="103">
                    <c:v>3.760997722833018E-11</c:v>
                  </c:pt>
                  <c:pt idx="104">
                    <c:v>3.9484190981463055E-11</c:v>
                  </c:pt>
                  <c:pt idx="105">
                    <c:v>4.2310334764692293E-11</c:v>
                  </c:pt>
                  <c:pt idx="106">
                    <c:v>4.4422373560868929E-11</c:v>
                  </c:pt>
                  <c:pt idx="107">
                    <c:v>4.9962787634559155E-11</c:v>
                  </c:pt>
                  <c:pt idx="108">
                    <c:v>5.3675531776643575E-11</c:v>
                  </c:pt>
                  <c:pt idx="109">
                    <c:v>5.265056547799582E-11</c:v>
                  </c:pt>
                  <c:pt idx="110">
                    <c:v>5.3051502307492019E-11</c:v>
                  </c:pt>
                  <c:pt idx="111">
                    <c:v>5.3169977670739629E-11</c:v>
                  </c:pt>
                  <c:pt idx="112">
                    <c:v>6.16721528762144E-11</c:v>
                  </c:pt>
                  <c:pt idx="113">
                    <c:v>5.7778598334217575E-11</c:v>
                  </c:pt>
                  <c:pt idx="114">
                    <c:v>5.8426651737408004E-11</c:v>
                  </c:pt>
                  <c:pt idx="115">
                    <c:v>5.4272256966102741E-11</c:v>
                  </c:pt>
                  <c:pt idx="116">
                    <c:v>4.5924339244004553E-11</c:v>
                  </c:pt>
                  <c:pt idx="117">
                    <c:v>4.7841853032926974E-11</c:v>
                  </c:pt>
                  <c:pt idx="118">
                    <c:v>4.5678700354302507E-11</c:v>
                  </c:pt>
                  <c:pt idx="119">
                    <c:v>4.0879453230450987E-11</c:v>
                  </c:pt>
                  <c:pt idx="120">
                    <c:v>4.280485091644666E-11</c:v>
                  </c:pt>
                  <c:pt idx="121">
                    <c:v>4.3501766771194945E-11</c:v>
                  </c:pt>
                  <c:pt idx="122">
                    <c:v>3.9908555730743878E-11</c:v>
                  </c:pt>
                  <c:pt idx="123">
                    <c:v>4.4220301012099988E-11</c:v>
                  </c:pt>
                  <c:pt idx="124">
                    <c:v>4.6473303495846861E-11</c:v>
                  </c:pt>
                  <c:pt idx="125">
                    <c:v>5.1280272356847136E-11</c:v>
                  </c:pt>
                  <c:pt idx="126">
                    <c:v>5.4091205177163271E-11</c:v>
                  </c:pt>
                  <c:pt idx="127">
                    <c:v>6.692938448599985E-11</c:v>
                  </c:pt>
                  <c:pt idx="128">
                    <c:v>6.4409611285918548E-11</c:v>
                  </c:pt>
                  <c:pt idx="129">
                    <c:v>5.9534984981783003E-11</c:v>
                  </c:pt>
                  <c:pt idx="130">
                    <c:v>6.635291307641279E-11</c:v>
                  </c:pt>
                  <c:pt idx="131">
                    <c:v>6.6976662379810922E-11</c:v>
                  </c:pt>
                  <c:pt idx="132">
                    <c:v>6.8594383034231263E-11</c:v>
                  </c:pt>
                  <c:pt idx="133">
                    <c:v>7.2272304864348589E-11</c:v>
                  </c:pt>
                  <c:pt idx="134">
                    <c:v>6.2666430991307899E-11</c:v>
                  </c:pt>
                  <c:pt idx="135">
                    <c:v>5.7739785606660741E-11</c:v>
                  </c:pt>
                  <c:pt idx="136">
                    <c:v>6.1461892791904481E-11</c:v>
                  </c:pt>
                  <c:pt idx="137">
                    <c:v>5.4816752540315885E-11</c:v>
                  </c:pt>
                  <c:pt idx="138">
                    <c:v>5.3578451949234306E-11</c:v>
                  </c:pt>
                  <c:pt idx="139">
                    <c:v>5.3208434455271573E-11</c:v>
                  </c:pt>
                  <c:pt idx="140">
                    <c:v>6.9298753893429954E-11</c:v>
                  </c:pt>
                  <c:pt idx="141">
                    <c:v>6.5926515863747072E-11</c:v>
                  </c:pt>
                  <c:pt idx="142">
                    <c:v>6.8457065216972144E-11</c:v>
                  </c:pt>
                  <c:pt idx="143">
                    <c:v>7.604555685961234E-11</c:v>
                  </c:pt>
                  <c:pt idx="144">
                    <c:v>7.9255167970890657E-11</c:v>
                  </c:pt>
                  <c:pt idx="145">
                    <c:v>7.9869386734729103E-11</c:v>
                  </c:pt>
                  <c:pt idx="146">
                    <c:v>9.3738269138390735E-11</c:v>
                  </c:pt>
                  <c:pt idx="147">
                    <c:v>8.6661325913551668E-11</c:v>
                  </c:pt>
                  <c:pt idx="148">
                    <c:v>8.37593155367974E-11</c:v>
                  </c:pt>
                  <c:pt idx="149">
                    <c:v>8.2152204279681528E-11</c:v>
                  </c:pt>
                  <c:pt idx="150">
                    <c:v>8.2440628968237411E-11</c:v>
                  </c:pt>
                  <c:pt idx="151">
                    <c:v>7.9307697749117643E-11</c:v>
                  </c:pt>
                  <c:pt idx="152">
                    <c:v>7.4954298391559058E-11</c:v>
                  </c:pt>
                  <c:pt idx="153">
                    <c:v>7.0476838713953696E-11</c:v>
                  </c:pt>
                  <c:pt idx="154">
                    <c:v>7.6824934188740751E-11</c:v>
                  </c:pt>
                  <c:pt idx="155">
                    <c:v>7.4645317527892269E-11</c:v>
                  </c:pt>
                  <c:pt idx="156">
                    <c:v>7.3479460971599575E-11</c:v>
                  </c:pt>
                  <c:pt idx="157">
                    <c:v>8.5030390677679073E-11</c:v>
                  </c:pt>
                  <c:pt idx="158">
                    <c:v>8.2946252401074265E-11</c:v>
                  </c:pt>
                  <c:pt idx="159">
                    <c:v>9.1942692378376282E-11</c:v>
                  </c:pt>
                  <c:pt idx="160">
                    <c:v>9.2533561220810394E-11</c:v>
                  </c:pt>
                  <c:pt idx="161">
                    <c:v>8.8040055296378723E-11</c:v>
                  </c:pt>
                  <c:pt idx="162">
                    <c:v>1.0039068341389992E-10</c:v>
                  </c:pt>
                  <c:pt idx="163">
                    <c:v>9.9428478009162511E-11</c:v>
                  </c:pt>
                  <c:pt idx="164">
                    <c:v>8.9066974131576228E-11</c:v>
                  </c:pt>
                  <c:pt idx="165">
                    <c:v>1.0927299121069707E-10</c:v>
                  </c:pt>
                  <c:pt idx="166">
                    <c:v>8.6080798263287708E-11</c:v>
                  </c:pt>
                  <c:pt idx="167">
                    <c:v>8.8809098492278096E-11</c:v>
                  </c:pt>
                  <c:pt idx="168">
                    <c:v>1.0028973955742048E-10</c:v>
                  </c:pt>
                  <c:pt idx="169">
                    <c:v>1.0742898346638303E-10</c:v>
                  </c:pt>
                  <c:pt idx="170">
                    <c:v>4.7003007047301616E-11</c:v>
                  </c:pt>
                  <c:pt idx="171">
                    <c:v>4.7740640955799155E-11</c:v>
                  </c:pt>
                  <c:pt idx="172">
                    <c:v>5.4174465870771904E-11</c:v>
                  </c:pt>
                  <c:pt idx="173">
                    <c:v>5.1742293434307051E-11</c:v>
                  </c:pt>
                  <c:pt idx="174">
                    <c:v>5.1716386750289604E-11</c:v>
                  </c:pt>
                  <c:pt idx="175">
                    <c:v>5.2400669479848546E-11</c:v>
                  </c:pt>
                  <c:pt idx="176">
                    <c:v>4.3357324474046339E-11</c:v>
                  </c:pt>
                  <c:pt idx="177">
                    <c:v>4.559847966304782E-11</c:v>
                  </c:pt>
                  <c:pt idx="178">
                    <c:v>4.5077997294167464E-11</c:v>
                  </c:pt>
                  <c:pt idx="179">
                    <c:v>4.2774870830367104E-11</c:v>
                  </c:pt>
                  <c:pt idx="180">
                    <c:v>4.5701990055543905E-11</c:v>
                  </c:pt>
                  <c:pt idx="181">
                    <c:v>4.8711420078678949E-11</c:v>
                  </c:pt>
                  <c:pt idx="182">
                    <c:v>4.9847052280046758E-11</c:v>
                  </c:pt>
                  <c:pt idx="183">
                    <c:v>5.4029783048550846E-11</c:v>
                  </c:pt>
                  <c:pt idx="184">
                    <c:v>5.3332755317174863E-11</c:v>
                  </c:pt>
                  <c:pt idx="185">
                    <c:v>5.5863956737286751E-11</c:v>
                  </c:pt>
                  <c:pt idx="186">
                    <c:v>5.4987232514253786E-11</c:v>
                  </c:pt>
                  <c:pt idx="187">
                    <c:v>5.5481364789598331E-11</c:v>
                  </c:pt>
                  <c:pt idx="188">
                    <c:v>5.3488614989609974E-11</c:v>
                  </c:pt>
                  <c:pt idx="189">
                    <c:v>5.1386939122454493E-11</c:v>
                  </c:pt>
                  <c:pt idx="190">
                    <c:v>6.2065607120798861E-11</c:v>
                  </c:pt>
                  <c:pt idx="191">
                    <c:v>5.8528584509340043E-11</c:v>
                  </c:pt>
                  <c:pt idx="192">
                    <c:v>6.2181327261786375E-11</c:v>
                  </c:pt>
                  <c:pt idx="193">
                    <c:v>6.9127258876487406E-11</c:v>
                  </c:pt>
                  <c:pt idx="194">
                    <c:v>7.6702208407091134E-11</c:v>
                  </c:pt>
                  <c:pt idx="195">
                    <c:v>6.3219580661082157E-11</c:v>
                  </c:pt>
                  <c:pt idx="196">
                    <c:v>6.6368183662019208E-11</c:v>
                  </c:pt>
                  <c:pt idx="197">
                    <c:v>6.4763993748156678E-11</c:v>
                  </c:pt>
                  <c:pt idx="198">
                    <c:v>7.2251460188161875E-11</c:v>
                  </c:pt>
                  <c:pt idx="199">
                    <c:v>6.7565320454117173E-11</c:v>
                  </c:pt>
                  <c:pt idx="200">
                    <c:v>7.4686334487903223E-11</c:v>
                  </c:pt>
                  <c:pt idx="201">
                    <c:v>7.107871500329518E-11</c:v>
                  </c:pt>
                  <c:pt idx="202">
                    <c:v>7.2591840542361927E-11</c:v>
                  </c:pt>
                  <c:pt idx="203">
                    <c:v>7.8557684787195366E-11</c:v>
                  </c:pt>
                  <c:pt idx="204">
                    <c:v>7.9853311227685282E-11</c:v>
                  </c:pt>
                  <c:pt idx="205">
                    <c:v>8.1595042091650851E-11</c:v>
                  </c:pt>
                  <c:pt idx="206">
                    <c:v>7.8695284697517029E-11</c:v>
                  </c:pt>
                  <c:pt idx="207">
                    <c:v>7.6298653318142015E-11</c:v>
                  </c:pt>
                  <c:pt idx="208">
                    <c:v>9.6340493646145111E-11</c:v>
                  </c:pt>
                  <c:pt idx="209">
                    <c:v>9.4196716197456115E-11</c:v>
                  </c:pt>
                  <c:pt idx="210">
                    <c:v>9.9991765271790055E-11</c:v>
                  </c:pt>
                  <c:pt idx="211">
                    <c:v>9.5918087669477043E-11</c:v>
                  </c:pt>
                  <c:pt idx="212">
                    <c:v>9.8149255184890837E-11</c:v>
                  </c:pt>
                  <c:pt idx="213">
                    <c:v>1.0887870926802748E-10</c:v>
                  </c:pt>
                  <c:pt idx="214">
                    <c:v>1.155867014645721E-10</c:v>
                  </c:pt>
                  <c:pt idx="215">
                    <c:v>8.8699456871693861E-11</c:v>
                  </c:pt>
                  <c:pt idx="216">
                    <c:v>1.0386118537589056E-10</c:v>
                  </c:pt>
                  <c:pt idx="217">
                    <c:v>1.0241954223146109E-10</c:v>
                  </c:pt>
                  <c:pt idx="218">
                    <c:v>1.1202046116489744E-10</c:v>
                  </c:pt>
                  <c:pt idx="219">
                    <c:v>1.0920716303397603E-10</c:v>
                  </c:pt>
                  <c:pt idx="220">
                    <c:v>1.0909328215096269E-10</c:v>
                  </c:pt>
                  <c:pt idx="221">
                    <c:v>1.1123608521475528E-10</c:v>
                  </c:pt>
                  <c:pt idx="222">
                    <c:v>1.0285863825848468E-10</c:v>
                  </c:pt>
                  <c:pt idx="223">
                    <c:v>1.1510757362410412E-10</c:v>
                  </c:pt>
                  <c:pt idx="224">
                    <c:v>1.1627581991011985E-10</c:v>
                  </c:pt>
                  <c:pt idx="225">
                    <c:v>1.2790389639156434E-10</c:v>
                  </c:pt>
                  <c:pt idx="226">
                    <c:v>1.3791324414488229E-10</c:v>
                  </c:pt>
                  <c:pt idx="227">
                    <c:v>1.3275388273186615E-10</c:v>
                  </c:pt>
                  <c:pt idx="228">
                    <c:v>1.3172592352731606E-10</c:v>
                  </c:pt>
                  <c:pt idx="229">
                    <c:v>1.3763985955945948E-10</c:v>
                  </c:pt>
                  <c:pt idx="230">
                    <c:v>1.4048118507340049E-10</c:v>
                  </c:pt>
                  <c:pt idx="231">
                    <c:v>1.3006799078143188E-10</c:v>
                  </c:pt>
                  <c:pt idx="232">
                    <c:v>1.6262137213704867E-10</c:v>
                  </c:pt>
                  <c:pt idx="233">
                    <c:v>1.5946145579301656E-10</c:v>
                  </c:pt>
                  <c:pt idx="234">
                    <c:v>1.4089365527547564E-10</c:v>
                  </c:pt>
                  <c:pt idx="235">
                    <c:v>1.5113856593392491E-10</c:v>
                  </c:pt>
                  <c:pt idx="236">
                    <c:v>1.5592159791390518E-10</c:v>
                  </c:pt>
                  <c:pt idx="237">
                    <c:v>1.5871206778486218E-10</c:v>
                  </c:pt>
                  <c:pt idx="238">
                    <c:v>7.179950909559488E-11</c:v>
                  </c:pt>
                  <c:pt idx="239">
                    <c:v>7.7900271473727608E-11</c:v>
                  </c:pt>
                  <c:pt idx="240">
                    <c:v>8.8103289122119637E-11</c:v>
                  </c:pt>
                  <c:pt idx="241">
                    <c:v>8.4993910677361392E-11</c:v>
                  </c:pt>
                  <c:pt idx="242">
                    <c:v>9.0116090814064022E-11</c:v>
                  </c:pt>
                  <c:pt idx="243">
                    <c:v>8.7843622477755366E-11</c:v>
                  </c:pt>
                  <c:pt idx="244">
                    <c:v>8.146591059555114E-11</c:v>
                  </c:pt>
                  <c:pt idx="245">
                    <c:v>8.3391107420931452E-11</c:v>
                  </c:pt>
                  <c:pt idx="246">
                    <c:v>8.8629194470014566E-11</c:v>
                  </c:pt>
                  <c:pt idx="247">
                    <c:v>9.0679532178682637E-11</c:v>
                  </c:pt>
                  <c:pt idx="248">
                    <c:v>8.1675233962263075E-11</c:v>
                  </c:pt>
                  <c:pt idx="249">
                    <c:v>9.4866638061595309E-11</c:v>
                  </c:pt>
                  <c:pt idx="250">
                    <c:v>8.6515333702301184E-11</c:v>
                  </c:pt>
                  <c:pt idx="251">
                    <c:v>9.5141043274422204E-11</c:v>
                  </c:pt>
                  <c:pt idx="252">
                    <c:v>9.3668117780122272E-11</c:v>
                  </c:pt>
                  <c:pt idx="253">
                    <c:v>1.0277480676106789E-10</c:v>
                  </c:pt>
                  <c:pt idx="254">
                    <c:v>9.5912787142898018E-11</c:v>
                  </c:pt>
                  <c:pt idx="255">
                    <c:v>1.157718171374949E-10</c:v>
                  </c:pt>
                  <c:pt idx="256">
                    <c:v>1.1345260033072964E-10</c:v>
                  </c:pt>
                  <c:pt idx="257">
                    <c:v>1.1409287133643313E-10</c:v>
                  </c:pt>
                  <c:pt idx="258">
                    <c:v>1.2123303877067941E-10</c:v>
                  </c:pt>
                  <c:pt idx="259">
                    <c:v>1.2299020767436378E-10</c:v>
                  </c:pt>
                  <c:pt idx="260">
                    <c:v>1.1473946044472086E-10</c:v>
                  </c:pt>
                  <c:pt idx="261">
                    <c:v>1.2742131095827502E-10</c:v>
                  </c:pt>
                  <c:pt idx="262">
                    <c:v>1.3309284614307875E-10</c:v>
                  </c:pt>
                  <c:pt idx="263">
                    <c:v>1.2765270428468383E-10</c:v>
                  </c:pt>
                  <c:pt idx="264">
                    <c:v>1.289001027500025E-10</c:v>
                  </c:pt>
                  <c:pt idx="265">
                    <c:v>1.3069527611047965E-10</c:v>
                  </c:pt>
                  <c:pt idx="266">
                    <c:v>1.3433744221252768E-10</c:v>
                  </c:pt>
                  <c:pt idx="267">
                    <c:v>1.3227889486129223E-10</c:v>
                  </c:pt>
                  <c:pt idx="268">
                    <c:v>1.5358139379825126E-10</c:v>
                  </c:pt>
                  <c:pt idx="269">
                    <c:v>1.3903862654386974E-10</c:v>
                  </c:pt>
                  <c:pt idx="270">
                    <c:v>1.3670920356374328E-10</c:v>
                  </c:pt>
                  <c:pt idx="271">
                    <c:v>1.447461977752039E-10</c:v>
                  </c:pt>
                  <c:pt idx="272">
                    <c:v>1.5011431091147081E-10</c:v>
                  </c:pt>
                  <c:pt idx="273">
                    <c:v>1.5601553479983269E-10</c:v>
                  </c:pt>
                  <c:pt idx="274">
                    <c:v>1.5688146675342527E-10</c:v>
                  </c:pt>
                  <c:pt idx="275">
                    <c:v>1.617300132333524E-10</c:v>
                  </c:pt>
                  <c:pt idx="276">
                    <c:v>1.8333928379023975E-10</c:v>
                  </c:pt>
                  <c:pt idx="277">
                    <c:v>1.9124643460796527E-10</c:v>
                  </c:pt>
                  <c:pt idx="278">
                    <c:v>1.6918029586277081E-10</c:v>
                  </c:pt>
                  <c:pt idx="279">
                    <c:v>1.855687444491398E-10</c:v>
                  </c:pt>
                  <c:pt idx="280">
                    <c:v>1.7845413825598824E-10</c:v>
                  </c:pt>
                  <c:pt idx="281">
                    <c:v>1.9964498256989512E-10</c:v>
                  </c:pt>
                  <c:pt idx="282">
                    <c:v>1.9334668092117933E-10</c:v>
                  </c:pt>
                  <c:pt idx="283">
                    <c:v>1.9597341014430312E-10</c:v>
                  </c:pt>
                  <c:pt idx="284">
                    <c:v>1.8571696709987107E-10</c:v>
                  </c:pt>
                  <c:pt idx="285">
                    <c:v>1.9293359612182081E-10</c:v>
                  </c:pt>
                  <c:pt idx="286">
                    <c:v>2.0614395768743471E-10</c:v>
                  </c:pt>
                  <c:pt idx="287">
                    <c:v>2.183168301428401E-10</c:v>
                  </c:pt>
                  <c:pt idx="288">
                    <c:v>2.0569972868066133E-10</c:v>
                  </c:pt>
                  <c:pt idx="289">
                    <c:v>1.9577131025749471E-10</c:v>
                  </c:pt>
                  <c:pt idx="290">
                    <c:v>2.1412071788544877E-10</c:v>
                  </c:pt>
                  <c:pt idx="291">
                    <c:v>2.3544445624194299E-10</c:v>
                  </c:pt>
                  <c:pt idx="292">
                    <c:v>2.2799642831062785E-10</c:v>
                  </c:pt>
                  <c:pt idx="293">
                    <c:v>2.4089842306424277E-10</c:v>
                  </c:pt>
                  <c:pt idx="294">
                    <c:v>2.5174250103974537E-10</c:v>
                  </c:pt>
                  <c:pt idx="295">
                    <c:v>2.4321717743911874E-10</c:v>
                  </c:pt>
                  <c:pt idx="296">
                    <c:v>2.1808276734604427E-10</c:v>
                  </c:pt>
                  <c:pt idx="297">
                    <c:v>2.6377899677354463E-10</c:v>
                  </c:pt>
                  <c:pt idx="298">
                    <c:v>2.785767846962742E-10</c:v>
                  </c:pt>
                  <c:pt idx="299">
                    <c:v>2.7479921584298508E-10</c:v>
                  </c:pt>
                  <c:pt idx="300">
                    <c:v>2.4818233654632686E-10</c:v>
                  </c:pt>
                  <c:pt idx="301">
                    <c:v>2.4465140689105744E-10</c:v>
                  </c:pt>
                  <c:pt idx="302">
                    <c:v>2.7406089004725297E-10</c:v>
                  </c:pt>
                  <c:pt idx="303">
                    <c:v>2.7570286299226554E-10</c:v>
                  </c:pt>
                  <c:pt idx="304">
                    <c:v>3.094138741661013E-10</c:v>
                  </c:pt>
                  <c:pt idx="305">
                    <c:v>3.0168587560621787E-10</c:v>
                  </c:pt>
                  <c:pt idx="306">
                    <c:v>2.9319515739407101E-10</c:v>
                  </c:pt>
                  <c:pt idx="307">
                    <c:v>3.2844615346795699E-10</c:v>
                  </c:pt>
                  <c:pt idx="308">
                    <c:v>3.292918085331736E-10</c:v>
                  </c:pt>
                  <c:pt idx="309">
                    <c:v>3.4734408533509388E-10</c:v>
                  </c:pt>
                  <c:pt idx="310">
                    <c:v>3.3838754092641769E-10</c:v>
                  </c:pt>
                  <c:pt idx="311">
                    <c:v>3.8865662229059419E-10</c:v>
                  </c:pt>
                  <c:pt idx="312">
                    <c:v>3.588981468484656E-10</c:v>
                  </c:pt>
                  <c:pt idx="313">
                    <c:v>3.6193583147082171E-10</c:v>
                  </c:pt>
                  <c:pt idx="314">
                    <c:v>3.4639811306924303E-10</c:v>
                  </c:pt>
                  <c:pt idx="315">
                    <c:v>3.9936771316221193E-10</c:v>
                  </c:pt>
                  <c:pt idx="316">
                    <c:v>4.0569801481751879E-10</c:v>
                  </c:pt>
                  <c:pt idx="317">
                    <c:v>3.6935358527944743E-10</c:v>
                  </c:pt>
                  <c:pt idx="318">
                    <c:v>3.7523412845431051E-10</c:v>
                  </c:pt>
                  <c:pt idx="319">
                    <c:v>4.4167179314297127E-10</c:v>
                  </c:pt>
                  <c:pt idx="320">
                    <c:v>4.3235166055253702E-10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  <c:pt idx="257">
                  <c:v>0.10555442482500001</c:v>
                </c:pt>
                <c:pt idx="258">
                  <c:v>0.10660996907299999</c:v>
                </c:pt>
                <c:pt idx="259">
                  <c:v>0.107676068764</c:v>
                </c:pt>
                <c:pt idx="260">
                  <c:v>0.108752829451</c:v>
                </c:pt>
                <c:pt idx="261">
                  <c:v>0.109840357746</c:v>
                </c:pt>
                <c:pt idx="262">
                  <c:v>0.110938761323</c:v>
                </c:pt>
                <c:pt idx="263">
                  <c:v>0.11204814893700001</c:v>
                </c:pt>
                <c:pt idx="264">
                  <c:v>0.11316863042600001</c:v>
                </c:pt>
                <c:pt idx="265">
                  <c:v>0.11430031673</c:v>
                </c:pt>
                <c:pt idx="266">
                  <c:v>0.115443319898</c:v>
                </c:pt>
                <c:pt idx="267">
                  <c:v>0.116597753096</c:v>
                </c:pt>
                <c:pt idx="268">
                  <c:v>0.117763730627</c:v>
                </c:pt>
                <c:pt idx="269">
                  <c:v>0.11894136793399999</c:v>
                </c:pt>
                <c:pt idx="270">
                  <c:v>0.120130781613</c:v>
                </c:pt>
                <c:pt idx="271">
                  <c:v>0.12133208942900001</c:v>
                </c:pt>
                <c:pt idx="272">
                  <c:v>0.122545410323</c:v>
                </c:pt>
                <c:pt idx="273">
                  <c:v>0.123770864427</c:v>
                </c:pt>
                <c:pt idx="274">
                  <c:v>0.125008573071</c:v>
                </c:pt>
                <c:pt idx="275">
                  <c:v>0.12625865880199999</c:v>
                </c:pt>
                <c:pt idx="276">
                  <c:v>0.12752124539000001</c:v>
                </c:pt>
                <c:pt idx="277">
                  <c:v>0.12879645784400001</c:v>
                </c:pt>
                <c:pt idx="278">
                  <c:v>0.130084422422</c:v>
                </c:pt>
                <c:pt idx="279">
                  <c:v>0.131385266646</c:v>
                </c:pt>
                <c:pt idx="280">
                  <c:v>0.13269911931299999</c:v>
                </c:pt>
                <c:pt idx="281">
                  <c:v>0.134026110506</c:v>
                </c:pt>
                <c:pt idx="282">
                  <c:v>0.13536637161100001</c:v>
                </c:pt>
                <c:pt idx="283">
                  <c:v>0.136720035327</c:v>
                </c:pt>
                <c:pt idx="284">
                  <c:v>0.13808723568</c:v>
                </c:pt>
                <c:pt idx="285">
                  <c:v>0.13946810803699999</c:v>
                </c:pt>
                <c:pt idx="286">
                  <c:v>0.14086278911700001</c:v>
                </c:pt>
                <c:pt idx="287">
                  <c:v>0.14227141700900001</c:v>
                </c:pt>
                <c:pt idx="288">
                  <c:v>0.14369413117900001</c:v>
                </c:pt>
                <c:pt idx="289">
                  <c:v>0.14513107249099999</c:v>
                </c:pt>
                <c:pt idx="290">
                  <c:v>0.146582383215</c:v>
                </c:pt>
                <c:pt idx="291">
                  <c:v>0.14804820704800001</c:v>
                </c:pt>
                <c:pt idx="292">
                  <c:v>0.14952868911799999</c:v>
                </c:pt>
                <c:pt idx="293">
                  <c:v>0.151023976009</c:v>
                </c:pt>
                <c:pt idx="294">
                  <c:v>0.152534215769</c:v>
                </c:pt>
                <c:pt idx="295">
                  <c:v>0.15405955792699999</c:v>
                </c:pt>
                <c:pt idx="296">
                  <c:v>0.15560015350600001</c:v>
                </c:pt>
                <c:pt idx="297">
                  <c:v>0.157156155041</c:v>
                </c:pt>
                <c:pt idx="298">
                  <c:v>0.158727716592</c:v>
                </c:pt>
                <c:pt idx="299">
                  <c:v>0.16031499375800001</c:v>
                </c:pt>
                <c:pt idx="300">
                  <c:v>0.16191814369499999</c:v>
                </c:pt>
                <c:pt idx="301">
                  <c:v>0.16353732513200001</c:v>
                </c:pt>
                <c:pt idx="302">
                  <c:v>0.16517269838400001</c:v>
                </c:pt>
                <c:pt idx="303">
                  <c:v>0.16682442536700001</c:v>
                </c:pt>
                <c:pt idx="304">
                  <c:v>0.16849266962100001</c:v>
                </c:pt>
                <c:pt idx="305">
                  <c:v>0.170177596317</c:v>
                </c:pt>
                <c:pt idx="306">
                  <c:v>0.17187937228</c:v>
                </c:pt>
                <c:pt idx="307">
                  <c:v>0.17359816600299999</c:v>
                </c:pt>
                <c:pt idx="308">
                  <c:v>0.17533414766300001</c:v>
                </c:pt>
                <c:pt idx="309">
                  <c:v>0.17708748914</c:v>
                </c:pt>
                <c:pt idx="310">
                  <c:v>0.178858364031</c:v>
                </c:pt>
                <c:pt idx="311">
                  <c:v>0.18064694767200001</c:v>
                </c:pt>
                <c:pt idx="312">
                  <c:v>0.18245341714800001</c:v>
                </c:pt>
                <c:pt idx="313">
                  <c:v>0.18427795131999999</c:v>
                </c:pt>
                <c:pt idx="314">
                  <c:v>0.18612073083299999</c:v>
                </c:pt>
                <c:pt idx="315">
                  <c:v>0.187981938141</c:v>
                </c:pt>
                <c:pt idx="316">
                  <c:v>0.189861757523</c:v>
                </c:pt>
                <c:pt idx="317">
                  <c:v>0.19176037509800001</c:v>
                </c:pt>
                <c:pt idx="318">
                  <c:v>0.19367797884900001</c:v>
                </c:pt>
                <c:pt idx="319">
                  <c:v>0.19561475863700001</c:v>
                </c:pt>
                <c:pt idx="320">
                  <c:v>0.197570906224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5.019606115051944E-9</c:v>
                </c:pt>
                <c:pt idx="1">
                  <c:v>4.1004317605269385E-9</c:v>
                </c:pt>
                <c:pt idx="2">
                  <c:v>5.3961519498183441E-9</c:v>
                </c:pt>
                <c:pt idx="3">
                  <c:v>4.9068889813811271E-9</c:v>
                </c:pt>
                <c:pt idx="4">
                  <c:v>4.7892055396779672E-9</c:v>
                </c:pt>
                <c:pt idx="5">
                  <c:v>6.2628434433249744E-9</c:v>
                </c:pt>
                <c:pt idx="6">
                  <c:v>5.7341781680146686E-9</c:v>
                </c:pt>
                <c:pt idx="7">
                  <c:v>5.7833548922768588E-9</c:v>
                </c:pt>
                <c:pt idx="8">
                  <c:v>5.351912722282373E-9</c:v>
                </c:pt>
                <c:pt idx="9">
                  <c:v>6.2936056110525417E-9</c:v>
                </c:pt>
                <c:pt idx="10">
                  <c:v>7.0688279886620778E-9</c:v>
                </c:pt>
                <c:pt idx="11">
                  <c:v>6.8148149141464328E-9</c:v>
                </c:pt>
                <c:pt idx="12">
                  <c:v>7.5247403917216372E-9</c:v>
                </c:pt>
                <c:pt idx="13">
                  <c:v>7.2876739972231993E-9</c:v>
                </c:pt>
                <c:pt idx="14">
                  <c:v>7.3365504053906587E-9</c:v>
                </c:pt>
                <c:pt idx="15">
                  <c:v>8.6679109556677332E-9</c:v>
                </c:pt>
                <c:pt idx="16">
                  <c:v>8.4796824026897566E-9</c:v>
                </c:pt>
                <c:pt idx="17">
                  <c:v>8.5997349625337781E-9</c:v>
                </c:pt>
                <c:pt idx="18">
                  <c:v>8.4045361234070268E-9</c:v>
                </c:pt>
                <c:pt idx="19">
                  <c:v>8.659925177755016E-9</c:v>
                </c:pt>
                <c:pt idx="20">
                  <c:v>7.8217639264629153E-9</c:v>
                </c:pt>
                <c:pt idx="21">
                  <c:v>6.8989451736337158E-9</c:v>
                </c:pt>
                <c:pt idx="22">
                  <c:v>5.6465022407856681E-9</c:v>
                </c:pt>
                <c:pt idx="23">
                  <c:v>3.9100930588992233E-9</c:v>
                </c:pt>
                <c:pt idx="24">
                  <c:v>3.2784843009816534E-9</c:v>
                </c:pt>
                <c:pt idx="25">
                  <c:v>3.0935655871030258E-9</c:v>
                </c:pt>
                <c:pt idx="26">
                  <c:v>3.6219929419547577E-9</c:v>
                </c:pt>
                <c:pt idx="27">
                  <c:v>3.56349482702395E-9</c:v>
                </c:pt>
                <c:pt idx="28">
                  <c:v>3.9594981255462904E-9</c:v>
                </c:pt>
                <c:pt idx="29">
                  <c:v>3.605232004701445E-9</c:v>
                </c:pt>
                <c:pt idx="30">
                  <c:v>3.8311978131702306E-9</c:v>
                </c:pt>
                <c:pt idx="31">
                  <c:v>3.6190238197929185E-9</c:v>
                </c:pt>
                <c:pt idx="32">
                  <c:v>3.7523409120783116E-9</c:v>
                </c:pt>
                <c:pt idx="33">
                  <c:v>3.1519261502669195E-9</c:v>
                </c:pt>
                <c:pt idx="34">
                  <c:v>2.9100121929540617E-9</c:v>
                </c:pt>
                <c:pt idx="35">
                  <c:v>2.8456676270891524E-9</c:v>
                </c:pt>
                <c:pt idx="36">
                  <c:v>2.2437887157331247E-9</c:v>
                </c:pt>
                <c:pt idx="37">
                  <c:v>2.1477073640472831E-9</c:v>
                </c:pt>
                <c:pt idx="38">
                  <c:v>2.0663518304312259E-9</c:v>
                </c:pt>
                <c:pt idx="39">
                  <c:v>1.7313922925296606E-9</c:v>
                </c:pt>
                <c:pt idx="40">
                  <c:v>1.5740816094616478E-9</c:v>
                </c:pt>
                <c:pt idx="41">
                  <c:v>1.3042924866327224E-9</c:v>
                </c:pt>
                <c:pt idx="42">
                  <c:v>1.010949209573968E-9</c:v>
                </c:pt>
                <c:pt idx="43">
                  <c:v>9.6092617646487703E-10</c:v>
                </c:pt>
                <c:pt idx="44">
                  <c:v>8.3978445743312144E-10</c:v>
                </c:pt>
                <c:pt idx="45">
                  <c:v>8.1540216464267144E-10</c:v>
                </c:pt>
                <c:pt idx="46">
                  <c:v>8.1398845307476322E-10</c:v>
                </c:pt>
                <c:pt idx="47">
                  <c:v>8.6870625101601337E-10</c:v>
                </c:pt>
                <c:pt idx="48">
                  <c:v>9.2637395094100004E-10</c:v>
                </c:pt>
                <c:pt idx="49">
                  <c:v>1.0242835034186076E-9</c:v>
                </c:pt>
                <c:pt idx="50">
                  <c:v>9.6693614813810266E-10</c:v>
                </c:pt>
                <c:pt idx="51">
                  <c:v>8.9776177894677965E-10</c:v>
                </c:pt>
                <c:pt idx="52">
                  <c:v>1.1296457903347469E-9</c:v>
                </c:pt>
                <c:pt idx="53">
                  <c:v>1.1666275397929469E-9</c:v>
                </c:pt>
                <c:pt idx="54">
                  <c:v>1.4097064403253648E-9</c:v>
                </c:pt>
                <c:pt idx="55">
                  <c:v>1.3440174879248725E-9</c:v>
                </c:pt>
                <c:pt idx="56">
                  <c:v>1.550645077325412E-9</c:v>
                </c:pt>
                <c:pt idx="57">
                  <c:v>1.6964624496063387E-9</c:v>
                </c:pt>
                <c:pt idx="58">
                  <c:v>1.4411834284867508E-9</c:v>
                </c:pt>
                <c:pt idx="59">
                  <c:v>1.4015360455151132E-9</c:v>
                </c:pt>
                <c:pt idx="60">
                  <c:v>1.6321333684606274E-9</c:v>
                </c:pt>
                <c:pt idx="61">
                  <c:v>1.8144561433004715E-9</c:v>
                </c:pt>
                <c:pt idx="62">
                  <c:v>1.3691076916564363E-9</c:v>
                </c:pt>
                <c:pt idx="63">
                  <c:v>1.595379648810494E-9</c:v>
                </c:pt>
                <c:pt idx="64">
                  <c:v>1.5852511306460917E-9</c:v>
                </c:pt>
                <c:pt idx="65">
                  <c:v>1.2906114546220578E-9</c:v>
                </c:pt>
                <c:pt idx="66">
                  <c:v>1.1913791677143576E-9</c:v>
                </c:pt>
                <c:pt idx="67">
                  <c:v>1.0411144453769143E-9</c:v>
                </c:pt>
                <c:pt idx="68">
                  <c:v>1.028866736014415E-9</c:v>
                </c:pt>
                <c:pt idx="69">
                  <c:v>9.2392814684718007E-10</c:v>
                </c:pt>
                <c:pt idx="70">
                  <c:v>8.451048298760439E-10</c:v>
                </c:pt>
                <c:pt idx="71">
                  <c:v>6.4800112437861126E-10</c:v>
                </c:pt>
                <c:pt idx="72">
                  <c:v>8.5153310595683697E-10</c:v>
                </c:pt>
                <c:pt idx="73">
                  <c:v>5.8562934967904965E-10</c:v>
                </c:pt>
                <c:pt idx="74">
                  <c:v>5.9055743738988839E-10</c:v>
                </c:pt>
                <c:pt idx="75">
                  <c:v>5.3328898724086315E-10</c:v>
                </c:pt>
                <c:pt idx="76">
                  <c:v>5.213023077151339E-10</c:v>
                </c:pt>
                <c:pt idx="77">
                  <c:v>7.000242391651965E-10</c:v>
                </c:pt>
                <c:pt idx="78">
                  <c:v>7.12966144560038E-10</c:v>
                </c:pt>
                <c:pt idx="79">
                  <c:v>9.1721223374344969E-10</c:v>
                </c:pt>
                <c:pt idx="80">
                  <c:v>8.399092628972044E-10</c:v>
                </c:pt>
                <c:pt idx="81">
                  <c:v>8.8625650767690664E-10</c:v>
                </c:pt>
                <c:pt idx="82">
                  <c:v>8.8051043504782662E-10</c:v>
                </c:pt>
                <c:pt idx="83">
                  <c:v>9.688211727448504E-10</c:v>
                </c:pt>
                <c:pt idx="84">
                  <c:v>1.139323798942696E-9</c:v>
                </c:pt>
                <c:pt idx="85">
                  <c:v>1.2454829805056557E-9</c:v>
                </c:pt>
                <c:pt idx="86">
                  <c:v>1.4930965214915718E-9</c:v>
                </c:pt>
                <c:pt idx="87">
                  <c:v>1.2539314636777489E-9</c:v>
                </c:pt>
                <c:pt idx="88">
                  <c:v>1.5209405009460825E-9</c:v>
                </c:pt>
                <c:pt idx="89">
                  <c:v>1.4752872251045582E-9</c:v>
                </c:pt>
                <c:pt idx="90">
                  <c:v>1.4041487044378399E-9</c:v>
                </c:pt>
                <c:pt idx="91">
                  <c:v>1.0800668554675241E-9</c:v>
                </c:pt>
                <c:pt idx="92">
                  <c:v>1.1445438979928972E-9</c:v>
                </c:pt>
                <c:pt idx="93">
                  <c:v>1.0367682771043979E-9</c:v>
                </c:pt>
                <c:pt idx="94">
                  <c:v>8.9472842422144973E-10</c:v>
                </c:pt>
                <c:pt idx="95">
                  <c:v>8.396058844475201E-10</c:v>
                </c:pt>
                <c:pt idx="96">
                  <c:v>7.6137040950250814E-10</c:v>
                </c:pt>
                <c:pt idx="97">
                  <c:v>6.6295592341492146E-10</c:v>
                </c:pt>
                <c:pt idx="98">
                  <c:v>7.6677308940281173E-10</c:v>
                </c:pt>
                <c:pt idx="99">
                  <c:v>5.9315848749076347E-10</c:v>
                </c:pt>
                <c:pt idx="100">
                  <c:v>4.8474694394325686E-10</c:v>
                </c:pt>
                <c:pt idx="101">
                  <c:v>3.7146045584837142E-10</c:v>
                </c:pt>
                <c:pt idx="102">
                  <c:v>4.3390982292065954E-10</c:v>
                </c:pt>
                <c:pt idx="103">
                  <c:v>5.5987944970379248E-10</c:v>
                </c:pt>
                <c:pt idx="104">
                  <c:v>6.5510504793590964E-10</c:v>
                </c:pt>
                <c:pt idx="105">
                  <c:v>7.4489029439138684E-10</c:v>
                </c:pt>
                <c:pt idx="106">
                  <c:v>8.2714618908325741E-10</c:v>
                </c:pt>
                <c:pt idx="107">
                  <c:v>1.0118862396367433E-9</c:v>
                </c:pt>
                <c:pt idx="108">
                  <c:v>1.1595807879093114E-9</c:v>
                </c:pt>
                <c:pt idx="109">
                  <c:v>1.1670353620441723E-9</c:v>
                </c:pt>
                <c:pt idx="110">
                  <c:v>1.1657240320433307E-9</c:v>
                </c:pt>
                <c:pt idx="111">
                  <c:v>1.1762627276190477E-9</c:v>
                </c:pt>
                <c:pt idx="112">
                  <c:v>1.2202105104081804E-9</c:v>
                </c:pt>
                <c:pt idx="113">
                  <c:v>1.1285145448983186E-9</c:v>
                </c:pt>
                <c:pt idx="114">
                  <c:v>1.0686502714811519E-9</c:v>
                </c:pt>
                <c:pt idx="115">
                  <c:v>9.333624077064713E-10</c:v>
                </c:pt>
                <c:pt idx="116">
                  <c:v>7.5903771762938761E-10</c:v>
                </c:pt>
                <c:pt idx="117">
                  <c:v>7.7029929968744422E-10</c:v>
                </c:pt>
                <c:pt idx="118">
                  <c:v>6.9627799959094862E-10</c:v>
                </c:pt>
                <c:pt idx="119">
                  <c:v>5.6207269876059169E-10</c:v>
                </c:pt>
                <c:pt idx="120">
                  <c:v>5.5206370697909022E-10</c:v>
                </c:pt>
                <c:pt idx="121">
                  <c:v>5.7241470922296254E-10</c:v>
                </c:pt>
                <c:pt idx="122">
                  <c:v>4.5706870025669648E-10</c:v>
                </c:pt>
                <c:pt idx="123">
                  <c:v>5.2479452154842087E-10</c:v>
                </c:pt>
                <c:pt idx="124">
                  <c:v>6.2760821811160539E-10</c:v>
                </c:pt>
                <c:pt idx="125">
                  <c:v>7.1057512532398332E-10</c:v>
                </c:pt>
                <c:pt idx="126">
                  <c:v>7.2823563092233661E-10</c:v>
                </c:pt>
                <c:pt idx="127">
                  <c:v>1.0760975311442642E-9</c:v>
                </c:pt>
                <c:pt idx="128">
                  <c:v>1.0108309924098598E-9</c:v>
                </c:pt>
                <c:pt idx="129">
                  <c:v>8.6733143579060705E-10</c:v>
                </c:pt>
                <c:pt idx="130">
                  <c:v>1.0557885500922251E-9</c:v>
                </c:pt>
                <c:pt idx="131">
                  <c:v>1.0609119550762896E-9</c:v>
                </c:pt>
                <c:pt idx="132">
                  <c:v>1.0254935951913694E-9</c:v>
                </c:pt>
                <c:pt idx="133">
                  <c:v>1.0701998629047993E-9</c:v>
                </c:pt>
                <c:pt idx="134">
                  <c:v>8.5931995221381146E-10</c:v>
                </c:pt>
                <c:pt idx="135">
                  <c:v>7.0732696610355582E-10</c:v>
                </c:pt>
                <c:pt idx="136">
                  <c:v>7.2421641414331175E-10</c:v>
                </c:pt>
                <c:pt idx="137">
                  <c:v>5.9119499857605494E-10</c:v>
                </c:pt>
                <c:pt idx="138">
                  <c:v>4.9556796334559122E-10</c:v>
                </c:pt>
                <c:pt idx="139">
                  <c:v>4.1993140262776752E-10</c:v>
                </c:pt>
                <c:pt idx="140">
                  <c:v>7.0735294227772899E-10</c:v>
                </c:pt>
                <c:pt idx="141">
                  <c:v>6.549899553434294E-10</c:v>
                </c:pt>
                <c:pt idx="142">
                  <c:v>6.71556770656115E-10</c:v>
                </c:pt>
                <c:pt idx="143">
                  <c:v>8.1128668921877727E-10</c:v>
                </c:pt>
                <c:pt idx="144">
                  <c:v>8.6192899244357403E-10</c:v>
                </c:pt>
                <c:pt idx="145">
                  <c:v>8.8311965842117461E-10</c:v>
                </c:pt>
                <c:pt idx="146">
                  <c:v>1.1019851916151656E-9</c:v>
                </c:pt>
                <c:pt idx="147">
                  <c:v>8.7471795208366447E-10</c:v>
                </c:pt>
                <c:pt idx="148">
                  <c:v>9.2216167008568572E-10</c:v>
                </c:pt>
                <c:pt idx="149">
                  <c:v>8.5300967620978425E-10</c:v>
                </c:pt>
                <c:pt idx="150">
                  <c:v>8.7391720714158557E-10</c:v>
                </c:pt>
                <c:pt idx="151">
                  <c:v>7.6091880676303657E-10</c:v>
                </c:pt>
                <c:pt idx="152">
                  <c:v>5.725680965128631E-10</c:v>
                </c:pt>
                <c:pt idx="153">
                  <c:v>5.5333914324141442E-10</c:v>
                </c:pt>
                <c:pt idx="154">
                  <c:v>6.280257605374732E-10</c:v>
                </c:pt>
                <c:pt idx="155">
                  <c:v>5.6955466177170376E-10</c:v>
                </c:pt>
                <c:pt idx="156">
                  <c:v>5.944802330876701E-10</c:v>
                </c:pt>
                <c:pt idx="157">
                  <c:v>7.272919044873273E-10</c:v>
                </c:pt>
                <c:pt idx="158">
                  <c:v>5.6577969854147905E-10</c:v>
                </c:pt>
                <c:pt idx="159">
                  <c:v>7.3065857665386398E-10</c:v>
                </c:pt>
                <c:pt idx="160">
                  <c:v>7.4759879214548055E-10</c:v>
                </c:pt>
                <c:pt idx="161">
                  <c:v>7.0378044477941579E-10</c:v>
                </c:pt>
                <c:pt idx="162">
                  <c:v>7.9429144473581524E-10</c:v>
                </c:pt>
                <c:pt idx="163">
                  <c:v>7.9749841131202026E-10</c:v>
                </c:pt>
                <c:pt idx="164">
                  <c:v>6.2198439966786601E-10</c:v>
                </c:pt>
                <c:pt idx="165">
                  <c:v>8.2865212846926682E-10</c:v>
                </c:pt>
                <c:pt idx="166">
                  <c:v>5.4480135760009828E-10</c:v>
                </c:pt>
                <c:pt idx="167">
                  <c:v>5.0684657631440996E-10</c:v>
                </c:pt>
                <c:pt idx="168">
                  <c:v>6.6334793186830774E-10</c:v>
                </c:pt>
                <c:pt idx="169">
                  <c:v>7.1913382688011583E-10</c:v>
                </c:pt>
                <c:pt idx="170">
                  <c:v>7.0555440600117856E-10</c:v>
                </c:pt>
                <c:pt idx="171">
                  <c:v>7.685662434964798E-10</c:v>
                </c:pt>
                <c:pt idx="172">
                  <c:v>9.2409461125243367E-10</c:v>
                </c:pt>
                <c:pt idx="173">
                  <c:v>8.9246982682790441E-10</c:v>
                </c:pt>
                <c:pt idx="174">
                  <c:v>7.9568932573478925E-10</c:v>
                </c:pt>
                <c:pt idx="175">
                  <c:v>8.2379691360376979E-10</c:v>
                </c:pt>
                <c:pt idx="176">
                  <c:v>6.4408706934641438E-10</c:v>
                </c:pt>
                <c:pt idx="177">
                  <c:v>6.8219428112788914E-10</c:v>
                </c:pt>
                <c:pt idx="178">
                  <c:v>6.1677368439127738E-10</c:v>
                </c:pt>
                <c:pt idx="179">
                  <c:v>5.6027663068980477E-10</c:v>
                </c:pt>
                <c:pt idx="180">
                  <c:v>6.4605495894836768E-10</c:v>
                </c:pt>
                <c:pt idx="181">
                  <c:v>6.6577518399959444E-10</c:v>
                </c:pt>
                <c:pt idx="182">
                  <c:v>7.8048697467954881E-10</c:v>
                </c:pt>
                <c:pt idx="183">
                  <c:v>8.649063225818559E-10</c:v>
                </c:pt>
                <c:pt idx="184">
                  <c:v>8.3711496755694391E-10</c:v>
                </c:pt>
                <c:pt idx="185">
                  <c:v>9.1001665444302167E-10</c:v>
                </c:pt>
                <c:pt idx="186">
                  <c:v>7.9205307988674206E-10</c:v>
                </c:pt>
                <c:pt idx="187">
                  <c:v>7.2050661848064154E-10</c:v>
                </c:pt>
                <c:pt idx="188">
                  <c:v>6.6038844967331086E-10</c:v>
                </c:pt>
                <c:pt idx="189">
                  <c:v>6.1161883059418282E-10</c:v>
                </c:pt>
                <c:pt idx="190">
                  <c:v>8.2515078960244014E-10</c:v>
                </c:pt>
                <c:pt idx="191">
                  <c:v>7.5065833642774331E-10</c:v>
                </c:pt>
                <c:pt idx="192">
                  <c:v>8.2819058777308416E-10</c:v>
                </c:pt>
                <c:pt idx="193">
                  <c:v>8.9405943975326185E-10</c:v>
                </c:pt>
                <c:pt idx="194">
                  <c:v>1.0695927786551257E-9</c:v>
                </c:pt>
                <c:pt idx="195">
                  <c:v>7.469178698516413E-10</c:v>
                </c:pt>
                <c:pt idx="196">
                  <c:v>8.59881540523359E-10</c:v>
                </c:pt>
                <c:pt idx="197">
                  <c:v>7.5626984830890458E-10</c:v>
                </c:pt>
                <c:pt idx="198">
                  <c:v>9.4811626608365793E-10</c:v>
                </c:pt>
                <c:pt idx="199">
                  <c:v>7.4272423893283761E-10</c:v>
                </c:pt>
                <c:pt idx="200">
                  <c:v>9.1205784429061504E-10</c:v>
                </c:pt>
                <c:pt idx="201">
                  <c:v>8.0123022169625604E-10</c:v>
                </c:pt>
                <c:pt idx="202">
                  <c:v>8.5221111792180469E-10</c:v>
                </c:pt>
                <c:pt idx="203">
                  <c:v>8.7822089510413671E-10</c:v>
                </c:pt>
                <c:pt idx="204">
                  <c:v>9.3151873295076917E-10</c:v>
                </c:pt>
                <c:pt idx="205">
                  <c:v>9.4255903983697424E-10</c:v>
                </c:pt>
                <c:pt idx="206">
                  <c:v>7.9148202700957167E-10</c:v>
                </c:pt>
                <c:pt idx="207">
                  <c:v>6.4136221064594479E-10</c:v>
                </c:pt>
                <c:pt idx="208">
                  <c:v>9.7591882422141575E-10</c:v>
                </c:pt>
                <c:pt idx="209">
                  <c:v>9.2773021890354036E-10</c:v>
                </c:pt>
                <c:pt idx="210">
                  <c:v>1.0863240435629039E-9</c:v>
                </c:pt>
                <c:pt idx="211">
                  <c:v>9.8503801789960956E-10</c:v>
                </c:pt>
                <c:pt idx="212">
                  <c:v>1.0583098470885091E-9</c:v>
                </c:pt>
                <c:pt idx="213">
                  <c:v>1.1329231977268496E-9</c:v>
                </c:pt>
                <c:pt idx="214">
                  <c:v>1.2388897458788929E-9</c:v>
                </c:pt>
                <c:pt idx="215">
                  <c:v>7.139653641312091E-10</c:v>
                </c:pt>
                <c:pt idx="216">
                  <c:v>1.0161876419602805E-9</c:v>
                </c:pt>
                <c:pt idx="217">
                  <c:v>9.5341318504168384E-10</c:v>
                </c:pt>
                <c:pt idx="218">
                  <c:v>1.0154433653727209E-9</c:v>
                </c:pt>
                <c:pt idx="219">
                  <c:v>9.618791898226104E-10</c:v>
                </c:pt>
                <c:pt idx="220">
                  <c:v>1.0219590402255013E-9</c:v>
                </c:pt>
                <c:pt idx="221">
                  <c:v>1.0774936992679217E-9</c:v>
                </c:pt>
                <c:pt idx="222">
                  <c:v>7.794359102764716E-10</c:v>
                </c:pt>
                <c:pt idx="223">
                  <c:v>9.2200160620545831E-10</c:v>
                </c:pt>
                <c:pt idx="224">
                  <c:v>9.9667071169082385E-10</c:v>
                </c:pt>
                <c:pt idx="225">
                  <c:v>1.1349629313257606E-9</c:v>
                </c:pt>
                <c:pt idx="226">
                  <c:v>1.2504179669492634E-9</c:v>
                </c:pt>
                <c:pt idx="227">
                  <c:v>1.2115104144989413E-9</c:v>
                </c:pt>
                <c:pt idx="228">
                  <c:v>1.1034540047213199E-9</c:v>
                </c:pt>
                <c:pt idx="229">
                  <c:v>1.1518058220631948E-9</c:v>
                </c:pt>
                <c:pt idx="230">
                  <c:v>1.0621761616271065E-9</c:v>
                </c:pt>
                <c:pt idx="231">
                  <c:v>9.7838714263567769E-10</c:v>
                </c:pt>
                <c:pt idx="232">
                  <c:v>1.4175812605270282E-9</c:v>
                </c:pt>
                <c:pt idx="233">
                  <c:v>1.418367013270071E-9</c:v>
                </c:pt>
                <c:pt idx="234">
                  <c:v>1.0248268662765856E-9</c:v>
                </c:pt>
                <c:pt idx="235">
                  <c:v>1.0874174793618075E-9</c:v>
                </c:pt>
                <c:pt idx="236">
                  <c:v>1.2053875027117749E-9</c:v>
                </c:pt>
                <c:pt idx="237">
                  <c:v>1.1579816154827823E-9</c:v>
                </c:pt>
                <c:pt idx="238">
                  <c:v>1.0031836613277277E-9</c:v>
                </c:pt>
                <c:pt idx="239">
                  <c:v>1.2132732726973586E-9</c:v>
                </c:pt>
                <c:pt idx="240">
                  <c:v>1.5042231777507374E-9</c:v>
                </c:pt>
                <c:pt idx="241">
                  <c:v>1.4749392942706721E-9</c:v>
                </c:pt>
                <c:pt idx="242">
                  <c:v>1.517838032244412E-9</c:v>
                </c:pt>
                <c:pt idx="243">
                  <c:v>1.433203050346954E-9</c:v>
                </c:pt>
                <c:pt idx="244">
                  <c:v>1.2955429469568869E-9</c:v>
                </c:pt>
                <c:pt idx="245">
                  <c:v>1.3315769874204376E-9</c:v>
                </c:pt>
                <c:pt idx="246">
                  <c:v>1.4729945912349694E-9</c:v>
                </c:pt>
                <c:pt idx="247">
                  <c:v>1.4796625766216895E-9</c:v>
                </c:pt>
                <c:pt idx="248">
                  <c:v>1.2445504254276523E-9</c:v>
                </c:pt>
                <c:pt idx="249">
                  <c:v>1.581048233618861E-9</c:v>
                </c:pt>
                <c:pt idx="250">
                  <c:v>1.3939123695789475E-9</c:v>
                </c:pt>
                <c:pt idx="251">
                  <c:v>1.5152670833848368E-9</c:v>
                </c:pt>
                <c:pt idx="252">
                  <c:v>1.5640265669756325E-9</c:v>
                </c:pt>
                <c:pt idx="253">
                  <c:v>1.568207573844232E-9</c:v>
                </c:pt>
                <c:pt idx="254">
                  <c:v>1.3687028746895309E-9</c:v>
                </c:pt>
                <c:pt idx="255">
                  <c:v>1.8089279935403237E-9</c:v>
                </c:pt>
                <c:pt idx="256">
                  <c:v>1.708424487580612E-9</c:v>
                </c:pt>
                <c:pt idx="257">
                  <c:v>1.8377125335335788E-9</c:v>
                </c:pt>
                <c:pt idx="258">
                  <c:v>1.8561173183020818E-9</c:v>
                </c:pt>
                <c:pt idx="259">
                  <c:v>1.8746838100888617E-9</c:v>
                </c:pt>
                <c:pt idx="260">
                  <c:v>1.6353540529662118E-9</c:v>
                </c:pt>
                <c:pt idx="261">
                  <c:v>1.7188282580863911E-9</c:v>
                </c:pt>
                <c:pt idx="262">
                  <c:v>1.9203937207203315E-9</c:v>
                </c:pt>
                <c:pt idx="263">
                  <c:v>1.7319028222839842E-9</c:v>
                </c:pt>
                <c:pt idx="264">
                  <c:v>1.8023366852252459E-9</c:v>
                </c:pt>
                <c:pt idx="265">
                  <c:v>1.7025375199287693E-9</c:v>
                </c:pt>
                <c:pt idx="266">
                  <c:v>1.8127950950872067E-9</c:v>
                </c:pt>
                <c:pt idx="267">
                  <c:v>1.7416766228059045E-9</c:v>
                </c:pt>
                <c:pt idx="268">
                  <c:v>2.1161011606308406E-9</c:v>
                </c:pt>
                <c:pt idx="269">
                  <c:v>1.6084624168358719E-9</c:v>
                </c:pt>
                <c:pt idx="270">
                  <c:v>1.6694985249862647E-9</c:v>
                </c:pt>
                <c:pt idx="271">
                  <c:v>1.7213369918118444E-9</c:v>
                </c:pt>
                <c:pt idx="272">
                  <c:v>1.8832036666285966E-9</c:v>
                </c:pt>
                <c:pt idx="273">
                  <c:v>1.9377469609836711E-9</c:v>
                </c:pt>
                <c:pt idx="274">
                  <c:v>1.7369135903844254E-9</c:v>
                </c:pt>
                <c:pt idx="275">
                  <c:v>1.6429084231813452E-9</c:v>
                </c:pt>
                <c:pt idx="276">
                  <c:v>1.9234181272136757E-9</c:v>
                </c:pt>
                <c:pt idx="277">
                  <c:v>2.0363892222674928E-9</c:v>
                </c:pt>
                <c:pt idx="278">
                  <c:v>1.7115333023737093E-9</c:v>
                </c:pt>
                <c:pt idx="279">
                  <c:v>2.0214826153570042E-9</c:v>
                </c:pt>
                <c:pt idx="280">
                  <c:v>1.7866618373381417E-9</c:v>
                </c:pt>
                <c:pt idx="281">
                  <c:v>2.0844288698775824E-9</c:v>
                </c:pt>
                <c:pt idx="282">
                  <c:v>1.7949119226213164E-9</c:v>
                </c:pt>
                <c:pt idx="283">
                  <c:v>1.9911947308772054E-9</c:v>
                </c:pt>
                <c:pt idx="284">
                  <c:v>1.7960338443364679E-9</c:v>
                </c:pt>
                <c:pt idx="285">
                  <c:v>1.8555807851999657E-9</c:v>
                </c:pt>
                <c:pt idx="286">
                  <c:v>2.1069049750035281E-9</c:v>
                </c:pt>
                <c:pt idx="287">
                  <c:v>2.1618030942437761E-9</c:v>
                </c:pt>
                <c:pt idx="288">
                  <c:v>1.9111621241862893E-9</c:v>
                </c:pt>
                <c:pt idx="289">
                  <c:v>1.665920120407225E-9</c:v>
                </c:pt>
                <c:pt idx="290">
                  <c:v>1.8490755879983137E-9</c:v>
                </c:pt>
                <c:pt idx="291">
                  <c:v>2.2029495444280332E-9</c:v>
                </c:pt>
                <c:pt idx="292">
                  <c:v>2.1826350418682532E-9</c:v>
                </c:pt>
                <c:pt idx="293">
                  <c:v>2.0047134464281097E-9</c:v>
                </c:pt>
                <c:pt idx="294">
                  <c:v>2.0560110431954697E-9</c:v>
                </c:pt>
                <c:pt idx="295">
                  <c:v>2.0529506212242888E-9</c:v>
                </c:pt>
                <c:pt idx="296">
                  <c:v>1.3867887664812512E-9</c:v>
                </c:pt>
                <c:pt idx="297">
                  <c:v>2.0775690533756744E-9</c:v>
                </c:pt>
                <c:pt idx="298">
                  <c:v>2.3987259999875191E-9</c:v>
                </c:pt>
                <c:pt idx="299">
                  <c:v>2.3198755547077904E-9</c:v>
                </c:pt>
                <c:pt idx="300">
                  <c:v>1.3102272674001281E-9</c:v>
                </c:pt>
                <c:pt idx="301">
                  <c:v>1.3106799398081102E-9</c:v>
                </c:pt>
                <c:pt idx="302">
                  <c:v>2.0166447981970077E-9</c:v>
                </c:pt>
                <c:pt idx="303">
                  <c:v>1.6016993269028315E-9</c:v>
                </c:pt>
                <c:pt idx="304">
                  <c:v>2.4220609187730407E-9</c:v>
                </c:pt>
                <c:pt idx="305">
                  <c:v>1.9783787069694243E-9</c:v>
                </c:pt>
                <c:pt idx="306">
                  <c:v>1.7059579022817009E-9</c:v>
                </c:pt>
                <c:pt idx="307">
                  <c:v>2.4338672623213035E-9</c:v>
                </c:pt>
                <c:pt idx="308">
                  <c:v>2.1240124033865357E-9</c:v>
                </c:pt>
                <c:pt idx="309">
                  <c:v>2.1631210177446547E-9</c:v>
                </c:pt>
                <c:pt idx="310">
                  <c:v>1.6498265848162775E-9</c:v>
                </c:pt>
                <c:pt idx="311">
                  <c:v>2.5261463880666058E-9</c:v>
                </c:pt>
                <c:pt idx="312">
                  <c:v>2.3814311541026463E-9</c:v>
                </c:pt>
                <c:pt idx="313">
                  <c:v>1.9042204689481924E-9</c:v>
                </c:pt>
                <c:pt idx="314">
                  <c:v>1.5166962011419902E-9</c:v>
                </c:pt>
                <c:pt idx="315">
                  <c:v>2.1017721533130384E-9</c:v>
                </c:pt>
                <c:pt idx="316">
                  <c:v>1.5320556996520972E-9</c:v>
                </c:pt>
                <c:pt idx="317">
                  <c:v>1.1742545330193857E-9</c:v>
                </c:pt>
                <c:pt idx="318">
                  <c:v>9.3961515315676049E-10</c:v>
                </c:pt>
                <c:pt idx="319">
                  <c:v>1.6989771432958984E-9</c:v>
                </c:pt>
                <c:pt idx="320">
                  <c:v>1.6298571576030406E-9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8.18E-03</c:v>
                </c:pt>
                <c:pt idx="1">
                  <c:v>8.26E-03</c:v>
                </c:pt>
                <c:pt idx="2">
                  <c:v>8.35E-03</c:v>
                </c:pt>
                <c:pt idx="3">
                  <c:v>8.43E-03</c:v>
                </c:pt>
                <c:pt idx="4">
                  <c:v>8.51E-03</c:v>
                </c:pt>
                <c:pt idx="5">
                  <c:v>8.60E-03</c:v>
                </c:pt>
                <c:pt idx="6">
                  <c:v>8.69E-03</c:v>
                </c:pt>
                <c:pt idx="7">
                  <c:v>8.77E-03</c:v>
                </c:pt>
                <c:pt idx="8">
                  <c:v>8.86E-03</c:v>
                </c:pt>
                <c:pt idx="9">
                  <c:v>8.95E-03</c:v>
                </c:pt>
                <c:pt idx="10">
                  <c:v>9.04E-03</c:v>
                </c:pt>
                <c:pt idx="11">
                  <c:v>9.13E-03</c:v>
                </c:pt>
                <c:pt idx="12">
                  <c:v>9.22E-03</c:v>
                </c:pt>
                <c:pt idx="13">
                  <c:v>9.31E-03</c:v>
                </c:pt>
                <c:pt idx="14">
                  <c:v>9.41E-03</c:v>
                </c:pt>
                <c:pt idx="15">
                  <c:v>9.50E-03</c:v>
                </c:pt>
                <c:pt idx="16">
                  <c:v>9.59E-03</c:v>
                </c:pt>
                <c:pt idx="17">
                  <c:v>9.69E-03</c:v>
                </c:pt>
                <c:pt idx="18">
                  <c:v>9.79E-03</c:v>
                </c:pt>
                <c:pt idx="19">
                  <c:v>9.89E-03</c:v>
                </c:pt>
                <c:pt idx="20">
                  <c:v>9.98E-03</c:v>
                </c:pt>
                <c:pt idx="21">
                  <c:v>1.01E-02</c:v>
                </c:pt>
                <c:pt idx="22">
                  <c:v>1.02E-02</c:v>
                </c:pt>
                <c:pt idx="23">
                  <c:v>1.03E-02</c:v>
                </c:pt>
                <c:pt idx="24">
                  <c:v>1.04E-02</c:v>
                </c:pt>
                <c:pt idx="25">
                  <c:v>1.05E-02</c:v>
                </c:pt>
                <c:pt idx="26">
                  <c:v>1.06E-02</c:v>
                </c:pt>
                <c:pt idx="27">
                  <c:v>1.07E-02</c:v>
                </c:pt>
                <c:pt idx="28">
                  <c:v>1.08E-02</c:v>
                </c:pt>
                <c:pt idx="29">
                  <c:v>1.09E-02</c:v>
                </c:pt>
                <c:pt idx="30">
                  <c:v>1.10E-02</c:v>
                </c:pt>
                <c:pt idx="31">
                  <c:v>1.11E-02</c:v>
                </c:pt>
                <c:pt idx="32">
                  <c:v>1.13E-02</c:v>
                </c:pt>
                <c:pt idx="33">
                  <c:v>1.14E-02</c:v>
                </c:pt>
                <c:pt idx="34">
                  <c:v>1.15E-02</c:v>
                </c:pt>
                <c:pt idx="35">
                  <c:v>1.16E-02</c:v>
                </c:pt>
                <c:pt idx="36">
                  <c:v>1.17E-02</c:v>
                </c:pt>
                <c:pt idx="37">
                  <c:v>1.18E-02</c:v>
                </c:pt>
                <c:pt idx="38">
                  <c:v>1.19E-02</c:v>
                </c:pt>
                <c:pt idx="39">
                  <c:v>1.21E-02</c:v>
                </c:pt>
                <c:pt idx="40">
                  <c:v>1.22E-02</c:v>
                </c:pt>
                <c:pt idx="41">
                  <c:v>1.23E-02</c:v>
                </c:pt>
                <c:pt idx="42">
                  <c:v>1.24E-02</c:v>
                </c:pt>
                <c:pt idx="43">
                  <c:v>1.26E-02</c:v>
                </c:pt>
                <c:pt idx="44">
                  <c:v>1.27E-02</c:v>
                </c:pt>
                <c:pt idx="45">
                  <c:v>1.28E-02</c:v>
                </c:pt>
                <c:pt idx="46">
                  <c:v>1.29E-02</c:v>
                </c:pt>
                <c:pt idx="47">
                  <c:v>1.31E-02</c:v>
                </c:pt>
                <c:pt idx="48">
                  <c:v>1.32E-02</c:v>
                </c:pt>
                <c:pt idx="49">
                  <c:v>1.33E-02</c:v>
                </c:pt>
                <c:pt idx="50">
                  <c:v>1.35E-02</c:v>
                </c:pt>
                <c:pt idx="51">
                  <c:v>1.36E-02</c:v>
                </c:pt>
                <c:pt idx="52">
                  <c:v>1.37E-02</c:v>
                </c:pt>
                <c:pt idx="53">
                  <c:v>1.39E-02</c:v>
                </c:pt>
                <c:pt idx="54">
                  <c:v>1.40E-02</c:v>
                </c:pt>
                <c:pt idx="55">
                  <c:v>1.41E-02</c:v>
                </c:pt>
                <c:pt idx="56">
                  <c:v>1.43E-02</c:v>
                </c:pt>
                <c:pt idx="57">
                  <c:v>1.44E-02</c:v>
                </c:pt>
                <c:pt idx="58">
                  <c:v>1.46E-02</c:v>
                </c:pt>
                <c:pt idx="59">
                  <c:v>1.47E-02</c:v>
                </c:pt>
                <c:pt idx="60">
                  <c:v>1.49E-02</c:v>
                </c:pt>
                <c:pt idx="61">
                  <c:v>1.50E-02</c:v>
                </c:pt>
                <c:pt idx="62">
                  <c:v>1.52E-02</c:v>
                </c:pt>
                <c:pt idx="63">
                  <c:v>1.53E-02</c:v>
                </c:pt>
                <c:pt idx="64">
                  <c:v>1.55E-02</c:v>
                </c:pt>
                <c:pt idx="65">
                  <c:v>1.56E-02</c:v>
                </c:pt>
                <c:pt idx="66">
                  <c:v>1.58E-02</c:v>
                </c:pt>
                <c:pt idx="67">
                  <c:v>1.59E-02</c:v>
                </c:pt>
                <c:pt idx="68">
                  <c:v>1.61E-02</c:v>
                </c:pt>
                <c:pt idx="69">
                  <c:v>1.63E-02</c:v>
                </c:pt>
                <c:pt idx="70">
                  <c:v>1.64E-02</c:v>
                </c:pt>
                <c:pt idx="71">
                  <c:v>1.66E-02</c:v>
                </c:pt>
                <c:pt idx="72">
                  <c:v>1.68E-02</c:v>
                </c:pt>
                <c:pt idx="73">
                  <c:v>1.69E-02</c:v>
                </c:pt>
                <c:pt idx="74">
                  <c:v>1.71E-02</c:v>
                </c:pt>
                <c:pt idx="75">
                  <c:v>1.73E-02</c:v>
                </c:pt>
                <c:pt idx="76">
                  <c:v>1.74E-02</c:v>
                </c:pt>
                <c:pt idx="77">
                  <c:v>1.76E-02</c:v>
                </c:pt>
                <c:pt idx="78">
                  <c:v>1.78E-02</c:v>
                </c:pt>
                <c:pt idx="79">
                  <c:v>1.80E-02</c:v>
                </c:pt>
                <c:pt idx="80">
                  <c:v>1.81E-02</c:v>
                </c:pt>
                <c:pt idx="81">
                  <c:v>1.83E-02</c:v>
                </c:pt>
                <c:pt idx="82">
                  <c:v>1.85E-02</c:v>
                </c:pt>
                <c:pt idx="83">
                  <c:v>1.87E-02</c:v>
                </c:pt>
                <c:pt idx="84">
                  <c:v>1.89E-02</c:v>
                </c:pt>
                <c:pt idx="85">
                  <c:v>1.91E-02</c:v>
                </c:pt>
                <c:pt idx="86">
                  <c:v>1.93E-02</c:v>
                </c:pt>
                <c:pt idx="87">
                  <c:v>1.94E-02</c:v>
                </c:pt>
                <c:pt idx="88">
                  <c:v>1.96E-02</c:v>
                </c:pt>
                <c:pt idx="89">
                  <c:v>1.98E-02</c:v>
                </c:pt>
                <c:pt idx="90">
                  <c:v>2.00E-02</c:v>
                </c:pt>
                <c:pt idx="91">
                  <c:v>2.02E-02</c:v>
                </c:pt>
                <c:pt idx="92">
                  <c:v>2.04E-02</c:v>
                </c:pt>
                <c:pt idx="93">
                  <c:v>2.06E-02</c:v>
                </c:pt>
                <c:pt idx="94">
                  <c:v>2.08E-02</c:v>
                </c:pt>
                <c:pt idx="95">
                  <c:v>2.11E-02</c:v>
                </c:pt>
                <c:pt idx="96">
                  <c:v>2.13E-02</c:v>
                </c:pt>
                <c:pt idx="97">
                  <c:v>2.15E-02</c:v>
                </c:pt>
                <c:pt idx="98">
                  <c:v>2.17E-02</c:v>
                </c:pt>
                <c:pt idx="99">
                  <c:v>2.19E-02</c:v>
                </c:pt>
                <c:pt idx="100">
                  <c:v>2.21E-02</c:v>
                </c:pt>
                <c:pt idx="101">
                  <c:v>2.24E-02</c:v>
                </c:pt>
                <c:pt idx="102">
                  <c:v>2.26E-02</c:v>
                </c:pt>
                <c:pt idx="103">
                  <c:v>2.28E-02</c:v>
                </c:pt>
                <c:pt idx="104">
                  <c:v>2.30E-02</c:v>
                </c:pt>
                <c:pt idx="105">
                  <c:v>2.33E-02</c:v>
                </c:pt>
                <c:pt idx="106">
                  <c:v>2.35E-02</c:v>
                </c:pt>
                <c:pt idx="107">
                  <c:v>2.37E-02</c:v>
                </c:pt>
                <c:pt idx="108">
                  <c:v>2.40E-02</c:v>
                </c:pt>
                <c:pt idx="109">
                  <c:v>2.42E-02</c:v>
                </c:pt>
                <c:pt idx="110">
                  <c:v>2.44E-02</c:v>
                </c:pt>
                <c:pt idx="111">
                  <c:v>2.47E-02</c:v>
                </c:pt>
                <c:pt idx="112">
                  <c:v>2.49E-02</c:v>
                </c:pt>
                <c:pt idx="113">
                  <c:v>2.52E-02</c:v>
                </c:pt>
                <c:pt idx="114">
                  <c:v>2.54E-02</c:v>
                </c:pt>
                <c:pt idx="115">
                  <c:v>2.57E-02</c:v>
                </c:pt>
                <c:pt idx="116">
                  <c:v>2.60E-02</c:v>
                </c:pt>
                <c:pt idx="117">
                  <c:v>2.62E-02</c:v>
                </c:pt>
                <c:pt idx="118">
                  <c:v>2.65E-02</c:v>
                </c:pt>
                <c:pt idx="119">
                  <c:v>2.67E-02</c:v>
                </c:pt>
                <c:pt idx="120">
                  <c:v>2.70E-02</c:v>
                </c:pt>
                <c:pt idx="121">
                  <c:v>2.73E-02</c:v>
                </c:pt>
                <c:pt idx="122">
                  <c:v>2.75E-02</c:v>
                </c:pt>
                <c:pt idx="123">
                  <c:v>2.78E-02</c:v>
                </c:pt>
                <c:pt idx="124">
                  <c:v>2.81E-02</c:v>
                </c:pt>
                <c:pt idx="125">
                  <c:v>2.84E-02</c:v>
                </c:pt>
                <c:pt idx="126">
                  <c:v>2.87E-02</c:v>
                </c:pt>
                <c:pt idx="127">
                  <c:v>2.90E-02</c:v>
                </c:pt>
                <c:pt idx="128">
                  <c:v>2.92E-02</c:v>
                </c:pt>
                <c:pt idx="129">
                  <c:v>2.95E-02</c:v>
                </c:pt>
                <c:pt idx="130">
                  <c:v>2.98E-02</c:v>
                </c:pt>
                <c:pt idx="131">
                  <c:v>3.01E-02</c:v>
                </c:pt>
                <c:pt idx="132">
                  <c:v>3.04E-02</c:v>
                </c:pt>
                <c:pt idx="133">
                  <c:v>3.07E-02</c:v>
                </c:pt>
                <c:pt idx="134">
                  <c:v>3.10E-02</c:v>
                </c:pt>
                <c:pt idx="135">
                  <c:v>3.14E-02</c:v>
                </c:pt>
                <c:pt idx="136">
                  <c:v>3.17E-02</c:v>
                </c:pt>
                <c:pt idx="137">
                  <c:v>3.20E-02</c:v>
                </c:pt>
                <c:pt idx="138">
                  <c:v>3.23E-02</c:v>
                </c:pt>
                <c:pt idx="139">
                  <c:v>3.26E-02</c:v>
                </c:pt>
                <c:pt idx="140">
                  <c:v>3.30E-02</c:v>
                </c:pt>
                <c:pt idx="141">
                  <c:v>3.33E-02</c:v>
                </c:pt>
                <c:pt idx="142">
                  <c:v>3.36E-02</c:v>
                </c:pt>
                <c:pt idx="143">
                  <c:v>3.40E-02</c:v>
                </c:pt>
                <c:pt idx="144">
                  <c:v>3.43E-02</c:v>
                </c:pt>
                <c:pt idx="145">
                  <c:v>3.46E-02</c:v>
                </c:pt>
                <c:pt idx="146">
                  <c:v>3.50E-02</c:v>
                </c:pt>
                <c:pt idx="147">
                  <c:v>3.53E-02</c:v>
                </c:pt>
                <c:pt idx="148">
                  <c:v>3.57E-02</c:v>
                </c:pt>
                <c:pt idx="149">
                  <c:v>3.60E-02</c:v>
                </c:pt>
                <c:pt idx="150">
                  <c:v>3.64E-02</c:v>
                </c:pt>
                <c:pt idx="151">
                  <c:v>3.68E-02</c:v>
                </c:pt>
                <c:pt idx="152">
                  <c:v>3.71E-02</c:v>
                </c:pt>
                <c:pt idx="153">
                  <c:v>3.75E-02</c:v>
                </c:pt>
                <c:pt idx="154">
                  <c:v>3.79E-02</c:v>
                </c:pt>
                <c:pt idx="155">
                  <c:v>3.83E-02</c:v>
                </c:pt>
                <c:pt idx="156">
                  <c:v>3.86E-02</c:v>
                </c:pt>
                <c:pt idx="157">
                  <c:v>3.90E-02</c:v>
                </c:pt>
                <c:pt idx="158">
                  <c:v>3.94E-02</c:v>
                </c:pt>
                <c:pt idx="159">
                  <c:v>3.98E-02</c:v>
                </c:pt>
                <c:pt idx="160">
                  <c:v>4.02E-02</c:v>
                </c:pt>
                <c:pt idx="161">
                  <c:v>4.06E-02</c:v>
                </c:pt>
                <c:pt idx="162">
                  <c:v>4.10E-02</c:v>
                </c:pt>
                <c:pt idx="163">
                  <c:v>4.14E-02</c:v>
                </c:pt>
                <c:pt idx="164">
                  <c:v>4.18E-02</c:v>
                </c:pt>
                <c:pt idx="165">
                  <c:v>4.23E-02</c:v>
                </c:pt>
                <c:pt idx="166">
                  <c:v>4.27E-02</c:v>
                </c:pt>
                <c:pt idx="167">
                  <c:v>4.31E-02</c:v>
                </c:pt>
                <c:pt idx="168">
                  <c:v>4.35E-02</c:v>
                </c:pt>
                <c:pt idx="169">
                  <c:v>4.40E-02</c:v>
                </c:pt>
                <c:pt idx="170">
                  <c:v>4.44E-02</c:v>
                </c:pt>
                <c:pt idx="171">
                  <c:v>4.49E-02</c:v>
                </c:pt>
                <c:pt idx="172">
                  <c:v>4.53E-02</c:v>
                </c:pt>
                <c:pt idx="173">
                  <c:v>4.58E-02</c:v>
                </c:pt>
                <c:pt idx="174">
                  <c:v>4.62E-02</c:v>
                </c:pt>
                <c:pt idx="175">
                  <c:v>4.67E-02</c:v>
                </c:pt>
                <c:pt idx="176">
                  <c:v>4.71E-02</c:v>
                </c:pt>
                <c:pt idx="177">
                  <c:v>4.76E-02</c:v>
                </c:pt>
                <c:pt idx="178">
                  <c:v>4.81E-02</c:v>
                </c:pt>
                <c:pt idx="179">
                  <c:v>4.86E-02</c:v>
                </c:pt>
                <c:pt idx="180">
                  <c:v>4.91E-02</c:v>
                </c:pt>
                <c:pt idx="181">
                  <c:v>4.96E-02</c:v>
                </c:pt>
                <c:pt idx="182">
                  <c:v>5.00E-02</c:v>
                </c:pt>
                <c:pt idx="183">
                  <c:v>5.05E-02</c:v>
                </c:pt>
                <c:pt idx="184">
                  <c:v>5.11E-02</c:v>
                </c:pt>
                <c:pt idx="185">
                  <c:v>5.16E-02</c:v>
                </c:pt>
                <c:pt idx="186">
                  <c:v>5.21E-02</c:v>
                </c:pt>
                <c:pt idx="187">
                  <c:v>5.26E-02</c:v>
                </c:pt>
                <c:pt idx="188">
                  <c:v>5.31E-02</c:v>
                </c:pt>
                <c:pt idx="189">
                  <c:v>5.37E-02</c:v>
                </c:pt>
                <c:pt idx="190">
                  <c:v>5.42E-02</c:v>
                </c:pt>
                <c:pt idx="191">
                  <c:v>5.47E-02</c:v>
                </c:pt>
                <c:pt idx="192">
                  <c:v>5.53E-02</c:v>
                </c:pt>
                <c:pt idx="193">
                  <c:v>5.58E-02</c:v>
                </c:pt>
                <c:pt idx="194">
                  <c:v>5.64E-02</c:v>
                </c:pt>
                <c:pt idx="195">
                  <c:v>5.70E-02</c:v>
                </c:pt>
                <c:pt idx="196">
                  <c:v>5.75E-02</c:v>
                </c:pt>
                <c:pt idx="197">
                  <c:v>5.81E-02</c:v>
                </c:pt>
                <c:pt idx="198">
                  <c:v>5.87E-02</c:v>
                </c:pt>
                <c:pt idx="199">
                  <c:v>5.93E-02</c:v>
                </c:pt>
                <c:pt idx="200">
                  <c:v>5.99E-02</c:v>
                </c:pt>
                <c:pt idx="201">
                  <c:v>6.05E-02</c:v>
                </c:pt>
                <c:pt idx="202">
                  <c:v>6.11E-02</c:v>
                </c:pt>
                <c:pt idx="203">
                  <c:v>6.17E-02</c:v>
                </c:pt>
                <c:pt idx="204">
                  <c:v>6.23E-02</c:v>
                </c:pt>
                <c:pt idx="205">
                  <c:v>6.29E-02</c:v>
                </c:pt>
                <c:pt idx="206">
                  <c:v>6.35E-02</c:v>
                </c:pt>
                <c:pt idx="207">
                  <c:v>6.42E-02</c:v>
                </c:pt>
                <c:pt idx="208">
                  <c:v>6.48E-02</c:v>
                </c:pt>
                <c:pt idx="209">
                  <c:v>6.55E-02</c:v>
                </c:pt>
                <c:pt idx="210">
                  <c:v>6.61E-02</c:v>
                </c:pt>
                <c:pt idx="211">
                  <c:v>6.68E-02</c:v>
                </c:pt>
                <c:pt idx="212">
                  <c:v>6.75E-02</c:v>
                </c:pt>
                <c:pt idx="213">
                  <c:v>6.81E-02</c:v>
                </c:pt>
                <c:pt idx="214">
                  <c:v>6.88E-02</c:v>
                </c:pt>
                <c:pt idx="215">
                  <c:v>6.95E-02</c:v>
                </c:pt>
                <c:pt idx="216">
                  <c:v>7.02E-02</c:v>
                </c:pt>
                <c:pt idx="217">
                  <c:v>7.09E-02</c:v>
                </c:pt>
                <c:pt idx="218">
                  <c:v>7.16E-02</c:v>
                </c:pt>
                <c:pt idx="219">
                  <c:v>7.23E-02</c:v>
                </c:pt>
                <c:pt idx="220">
                  <c:v>7.30E-02</c:v>
                </c:pt>
                <c:pt idx="221">
                  <c:v>7.38E-02</c:v>
                </c:pt>
                <c:pt idx="222">
                  <c:v>7.45E-02</c:v>
                </c:pt>
                <c:pt idx="223">
                  <c:v>7.53E-02</c:v>
                </c:pt>
                <c:pt idx="224">
                  <c:v>7.60E-02</c:v>
                </c:pt>
                <c:pt idx="225">
                  <c:v>7.68E-02</c:v>
                </c:pt>
                <c:pt idx="226">
                  <c:v>7.75E-02</c:v>
                </c:pt>
                <c:pt idx="227">
                  <c:v>7.83E-02</c:v>
                </c:pt>
                <c:pt idx="228">
                  <c:v>7.91E-02</c:v>
                </c:pt>
                <c:pt idx="229">
                  <c:v>7.99E-02</c:v>
                </c:pt>
                <c:pt idx="230">
                  <c:v>8.07E-02</c:v>
                </c:pt>
                <c:pt idx="231">
                  <c:v>8.15E-02</c:v>
                </c:pt>
                <c:pt idx="232">
                  <c:v>8.23E-02</c:v>
                </c:pt>
                <c:pt idx="233">
                  <c:v>8.31E-02</c:v>
                </c:pt>
                <c:pt idx="234">
                  <c:v>8.40E-02</c:v>
                </c:pt>
                <c:pt idx="235">
                  <c:v>8.48E-02</c:v>
                </c:pt>
                <c:pt idx="236">
                  <c:v>8.57E-02</c:v>
                </c:pt>
                <c:pt idx="237">
                  <c:v>8.65E-02</c:v>
                </c:pt>
                <c:pt idx="238">
                  <c:v>8.74E-02</c:v>
                </c:pt>
                <c:pt idx="239">
                  <c:v>8.82E-02</c:v>
                </c:pt>
                <c:pt idx="240">
                  <c:v>8.91E-02</c:v>
                </c:pt>
                <c:pt idx="241">
                  <c:v>9.00E-02</c:v>
                </c:pt>
                <c:pt idx="242">
                  <c:v>9.09E-02</c:v>
                </c:pt>
                <c:pt idx="243">
                  <c:v>9.18E-02</c:v>
                </c:pt>
                <c:pt idx="244">
                  <c:v>9.27E-02</c:v>
                </c:pt>
                <c:pt idx="245">
                  <c:v>9.37E-02</c:v>
                </c:pt>
                <c:pt idx="246">
                  <c:v>9.46E-02</c:v>
                </c:pt>
                <c:pt idx="247">
                  <c:v>9.56E-02</c:v>
                </c:pt>
                <c:pt idx="248">
                  <c:v>9.65E-02</c:v>
                </c:pt>
                <c:pt idx="249">
                  <c:v>9.75E-02</c:v>
                </c:pt>
                <c:pt idx="250">
                  <c:v>9.85E-02</c:v>
                </c:pt>
                <c:pt idx="251">
                  <c:v>9.94E-02</c:v>
                </c:pt>
                <c:pt idx="252">
                  <c:v>1.00E-01</c:v>
                </c:pt>
                <c:pt idx="253">
                  <c:v>1.01E-01</c:v>
                </c:pt>
                <c:pt idx="254">
                  <c:v>1.02E-01</c:v>
                </c:pt>
                <c:pt idx="255">
                  <c:v>1.03E-01</c:v>
                </c:pt>
                <c:pt idx="256">
                  <c:v>1.05E-01</c:v>
                </c:pt>
                <c:pt idx="257">
                  <c:v>1.06E-01</c:v>
                </c:pt>
                <c:pt idx="258">
                  <c:v>1.07E-01</c:v>
                </c:pt>
                <c:pt idx="259">
                  <c:v>1.08E-01</c:v>
                </c:pt>
                <c:pt idx="260">
                  <c:v>1.09E-01</c:v>
                </c:pt>
                <c:pt idx="261">
                  <c:v>1.10E-01</c:v>
                </c:pt>
                <c:pt idx="262">
                  <c:v>1.11E-01</c:v>
                </c:pt>
                <c:pt idx="263">
                  <c:v>1.12E-01</c:v>
                </c:pt>
                <c:pt idx="264">
                  <c:v>1.13E-01</c:v>
                </c:pt>
                <c:pt idx="265">
                  <c:v>1.14E-01</c:v>
                </c:pt>
                <c:pt idx="266">
                  <c:v>1.15E-01</c:v>
                </c:pt>
                <c:pt idx="267">
                  <c:v>1.17E-01</c:v>
                </c:pt>
                <c:pt idx="268">
                  <c:v>1.18E-01</c:v>
                </c:pt>
                <c:pt idx="269">
                  <c:v>1.19E-01</c:v>
                </c:pt>
                <c:pt idx="270">
                  <c:v>1.20E-01</c:v>
                </c:pt>
                <c:pt idx="271">
                  <c:v>1.21E-01</c:v>
                </c:pt>
                <c:pt idx="272">
                  <c:v>1.23E-01</c:v>
                </c:pt>
                <c:pt idx="273">
                  <c:v>1.24E-01</c:v>
                </c:pt>
                <c:pt idx="274">
                  <c:v>1.25E-01</c:v>
                </c:pt>
                <c:pt idx="275">
                  <c:v>1.26E-01</c:v>
                </c:pt>
                <c:pt idx="276">
                  <c:v>1.28E-01</c:v>
                </c:pt>
                <c:pt idx="277">
                  <c:v>1.29E-01</c:v>
                </c:pt>
                <c:pt idx="278">
                  <c:v>1.30E-01</c:v>
                </c:pt>
                <c:pt idx="279">
                  <c:v>1.31E-01</c:v>
                </c:pt>
                <c:pt idx="280">
                  <c:v>1.33E-01</c:v>
                </c:pt>
                <c:pt idx="281">
                  <c:v>1.34E-01</c:v>
                </c:pt>
                <c:pt idx="282">
                  <c:v>1.35E-01</c:v>
                </c:pt>
                <c:pt idx="283">
                  <c:v>1.37E-01</c:v>
                </c:pt>
                <c:pt idx="284">
                  <c:v>1.38E-01</c:v>
                </c:pt>
                <c:pt idx="285">
                  <c:v>1.39E-01</c:v>
                </c:pt>
                <c:pt idx="286">
                  <c:v>1.41E-01</c:v>
                </c:pt>
                <c:pt idx="287">
                  <c:v>1.42E-01</c:v>
                </c:pt>
                <c:pt idx="288">
                  <c:v>1.44E-01</c:v>
                </c:pt>
                <c:pt idx="289">
                  <c:v>1.45E-01</c:v>
                </c:pt>
                <c:pt idx="290">
                  <c:v>1.47E-01</c:v>
                </c:pt>
                <c:pt idx="291">
                  <c:v>1.48E-01</c:v>
                </c:pt>
                <c:pt idx="292">
                  <c:v>1.50E-01</c:v>
                </c:pt>
                <c:pt idx="293">
                  <c:v>1.51E-01</c:v>
                </c:pt>
                <c:pt idx="294">
                  <c:v>1.53E-01</c:v>
                </c:pt>
                <c:pt idx="295">
                  <c:v>1.54E-01</c:v>
                </c:pt>
                <c:pt idx="296">
                  <c:v>1.56E-01</c:v>
                </c:pt>
                <c:pt idx="297">
                  <c:v>1.57E-01</c:v>
                </c:pt>
                <c:pt idx="298">
                  <c:v>1.59E-01</c:v>
                </c:pt>
                <c:pt idx="299">
                  <c:v>1.60E-01</c:v>
                </c:pt>
                <c:pt idx="300">
                  <c:v>1.62E-01</c:v>
                </c:pt>
                <c:pt idx="301">
                  <c:v>1.64E-01</c:v>
                </c:pt>
                <c:pt idx="302">
                  <c:v>1.65E-01</c:v>
                </c:pt>
                <c:pt idx="303">
                  <c:v>1.67E-01</c:v>
                </c:pt>
                <c:pt idx="304">
                  <c:v>1.68E-01</c:v>
                </c:pt>
                <c:pt idx="305">
                  <c:v>1.70E-01</c:v>
                </c:pt>
                <c:pt idx="306">
                  <c:v>1.72E-01</c:v>
                </c:pt>
                <c:pt idx="307">
                  <c:v>1.74E-01</c:v>
                </c:pt>
                <c:pt idx="308">
                  <c:v>1.75E-01</c:v>
                </c:pt>
                <c:pt idx="309">
                  <c:v>1.77E-01</c:v>
                </c:pt>
                <c:pt idx="310">
                  <c:v>1.79E-01</c:v>
                </c:pt>
                <c:pt idx="311">
                  <c:v>1.81E-01</c:v>
                </c:pt>
                <c:pt idx="312">
                  <c:v>1.82E-01</c:v>
                </c:pt>
                <c:pt idx="313">
                  <c:v>1.84E-01</c:v>
                </c:pt>
                <c:pt idx="314">
                  <c:v>1.86E-01</c:v>
                </c:pt>
                <c:pt idx="315">
                  <c:v>1.88E-01</c:v>
                </c:pt>
                <c:pt idx="316">
                  <c:v>1.90E-01</c:v>
                </c:pt>
                <c:pt idx="317">
                  <c:v>1.92E-01</c:v>
                </c:pt>
                <c:pt idx="318">
                  <c:v>1.94E-01</c:v>
                </c:pt>
                <c:pt idx="319">
                  <c:v>1.96E-01</c:v>
                </c:pt>
                <c:pt idx="320">
                  <c:v>1.98E-01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  <c:pt idx="257">
                  <c:v>0.10555442482500001</c:v>
                </c:pt>
                <c:pt idx="258">
                  <c:v>0.10660996907299999</c:v>
                </c:pt>
                <c:pt idx="259">
                  <c:v>0.107676068764</c:v>
                </c:pt>
                <c:pt idx="260">
                  <c:v>0.108752829451</c:v>
                </c:pt>
                <c:pt idx="261">
                  <c:v>0.109840357746</c:v>
                </c:pt>
                <c:pt idx="262">
                  <c:v>0.110938761323</c:v>
                </c:pt>
                <c:pt idx="263">
                  <c:v>0.11204814893700001</c:v>
                </c:pt>
                <c:pt idx="264">
                  <c:v>0.11316863042600001</c:v>
                </c:pt>
                <c:pt idx="265">
                  <c:v>0.11430031673</c:v>
                </c:pt>
                <c:pt idx="266">
                  <c:v>0.115443319898</c:v>
                </c:pt>
                <c:pt idx="267">
                  <c:v>0.116597753096</c:v>
                </c:pt>
                <c:pt idx="268">
                  <c:v>0.117763730627</c:v>
                </c:pt>
                <c:pt idx="269">
                  <c:v>0.11894136793399999</c:v>
                </c:pt>
                <c:pt idx="270">
                  <c:v>0.120130781613</c:v>
                </c:pt>
                <c:pt idx="271">
                  <c:v>0.12133208942900001</c:v>
                </c:pt>
                <c:pt idx="272">
                  <c:v>0.122545410323</c:v>
                </c:pt>
                <c:pt idx="273">
                  <c:v>0.123770864427</c:v>
                </c:pt>
                <c:pt idx="274">
                  <c:v>0.125008573071</c:v>
                </c:pt>
                <c:pt idx="275">
                  <c:v>0.12625865880199999</c:v>
                </c:pt>
                <c:pt idx="276">
                  <c:v>0.12752124539000001</c:v>
                </c:pt>
                <c:pt idx="277">
                  <c:v>0.12879645784400001</c:v>
                </c:pt>
                <c:pt idx="278">
                  <c:v>0.130084422422</c:v>
                </c:pt>
                <c:pt idx="279">
                  <c:v>0.131385266646</c:v>
                </c:pt>
                <c:pt idx="280">
                  <c:v>0.13269911931299999</c:v>
                </c:pt>
                <c:pt idx="281">
                  <c:v>0.134026110506</c:v>
                </c:pt>
                <c:pt idx="282">
                  <c:v>0.13536637161100001</c:v>
                </c:pt>
                <c:pt idx="283">
                  <c:v>0.136720035327</c:v>
                </c:pt>
                <c:pt idx="284">
                  <c:v>0.13808723568</c:v>
                </c:pt>
                <c:pt idx="285">
                  <c:v>0.13946810803699999</c:v>
                </c:pt>
                <c:pt idx="286">
                  <c:v>0.14086278911700001</c:v>
                </c:pt>
                <c:pt idx="287">
                  <c:v>0.14227141700900001</c:v>
                </c:pt>
                <c:pt idx="288">
                  <c:v>0.14369413117900001</c:v>
                </c:pt>
                <c:pt idx="289">
                  <c:v>0.14513107249099999</c:v>
                </c:pt>
                <c:pt idx="290">
                  <c:v>0.146582383215</c:v>
                </c:pt>
                <c:pt idx="291">
                  <c:v>0.14804820704800001</c:v>
                </c:pt>
                <c:pt idx="292">
                  <c:v>0.14952868911799999</c:v>
                </c:pt>
                <c:pt idx="293">
                  <c:v>0.151023976009</c:v>
                </c:pt>
                <c:pt idx="294">
                  <c:v>0.152534215769</c:v>
                </c:pt>
                <c:pt idx="295">
                  <c:v>0.15405955792699999</c:v>
                </c:pt>
                <c:pt idx="296">
                  <c:v>0.15560015350600001</c:v>
                </c:pt>
                <c:pt idx="297">
                  <c:v>0.157156155041</c:v>
                </c:pt>
                <c:pt idx="298">
                  <c:v>0.158727716592</c:v>
                </c:pt>
                <c:pt idx="299">
                  <c:v>0.16031499375800001</c:v>
                </c:pt>
                <c:pt idx="300">
                  <c:v>0.16191814369499999</c:v>
                </c:pt>
                <c:pt idx="301">
                  <c:v>0.16353732513200001</c:v>
                </c:pt>
                <c:pt idx="302">
                  <c:v>0.16517269838400001</c:v>
                </c:pt>
                <c:pt idx="303">
                  <c:v>0.16682442536700001</c:v>
                </c:pt>
                <c:pt idx="304">
                  <c:v>0.16849266962100001</c:v>
                </c:pt>
                <c:pt idx="305">
                  <c:v>0.170177596317</c:v>
                </c:pt>
                <c:pt idx="306">
                  <c:v>0.17187937228</c:v>
                </c:pt>
                <c:pt idx="307">
                  <c:v>0.17359816600299999</c:v>
                </c:pt>
                <c:pt idx="308">
                  <c:v>0.17533414766300001</c:v>
                </c:pt>
                <c:pt idx="309">
                  <c:v>0.17708748914</c:v>
                </c:pt>
                <c:pt idx="310">
                  <c:v>0.178858364031</c:v>
                </c:pt>
                <c:pt idx="311">
                  <c:v>0.18064694767200001</c:v>
                </c:pt>
                <c:pt idx="312">
                  <c:v>0.18245341714800001</c:v>
                </c:pt>
                <c:pt idx="313">
                  <c:v>0.18427795131999999</c:v>
                </c:pt>
                <c:pt idx="314">
                  <c:v>0.18612073083299999</c:v>
                </c:pt>
                <c:pt idx="315">
                  <c:v>0.187981938141</c:v>
                </c:pt>
                <c:pt idx="316">
                  <c:v>0.189861757523</c:v>
                </c:pt>
                <c:pt idx="317">
                  <c:v>0.19176037509800001</c:v>
                </c:pt>
                <c:pt idx="318">
                  <c:v>0.19367797884900001</c:v>
                </c:pt>
                <c:pt idx="319">
                  <c:v>0.19561475863700001</c:v>
                </c:pt>
                <c:pt idx="320">
                  <c:v>0.197570906224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4.4785990624372994E-9</c:v>
                </c:pt>
                <c:pt idx="1">
                  <c:v>4.6602968272353323E-9</c:v>
                </c:pt>
                <c:pt idx="2">
                  <c:v>4.8493507813230685E-9</c:v>
                </c:pt>
                <c:pt idx="3">
                  <c:v>5.0460551185001702E-9</c:v>
                </c:pt>
                <c:pt idx="4">
                  <c:v>5.2507151475640602E-9</c:v>
                </c:pt>
                <c:pt idx="5">
                  <c:v>5.4636471226785877E-9</c:v>
                </c:pt>
                <c:pt idx="6">
                  <c:v>5.6851779422969275E-9</c:v>
                </c:pt>
                <c:pt idx="7">
                  <c:v>5.9156447439860734E-9</c:v>
                </c:pt>
                <c:pt idx="8">
                  <c:v>6.1553940767141306E-9</c:v>
                </c:pt>
                <c:pt idx="9">
                  <c:v>6.4047803206596692E-9</c:v>
                </c:pt>
                <c:pt idx="10">
                  <c:v>6.6641628244142738E-9</c:v>
                </c:pt>
                <c:pt idx="11">
                  <c:v>6.9339008078734683E-9</c:v>
                </c:pt>
                <c:pt idx="12">
                  <c:v>7.2143440992142849E-9</c:v>
                </c:pt>
                <c:pt idx="13">
                  <c:v>7.5058155685021554E-9</c:v>
                </c:pt>
                <c:pt idx="14">
                  <c:v>7.8085754313576106E-9</c:v>
                </c:pt>
                <c:pt idx="15">
                  <c:v>8.1227399791764502E-9</c:v>
                </c:pt>
                <c:pt idx="16">
                  <c:v>8.4480428634666164E-9</c:v>
                </c:pt>
                <c:pt idx="17">
                  <c:v>8.7802161337397617E-9</c:v>
                </c:pt>
                <c:pt idx="18">
                  <c:v>9.0888951619869472E-9</c:v>
                </c:pt>
                <c:pt idx="19">
                  <c:v>9.2207729164466773E-9</c:v>
                </c:pt>
                <c:pt idx="20">
                  <c:v>8.7654900222203163E-9</c:v>
                </c:pt>
                <c:pt idx="21">
                  <c:v>7.3184019570233603E-9</c:v>
                </c:pt>
                <c:pt idx="22">
                  <c:v>5.2549082843731813E-9</c:v>
                </c:pt>
                <c:pt idx="23">
                  <c:v>3.6387303847692711E-9</c:v>
                </c:pt>
                <c:pt idx="24">
                  <c:v>2.9864940598965073E-9</c:v>
                </c:pt>
                <c:pt idx="25">
                  <c:v>2.9539899938902844E-9</c:v>
                </c:pt>
                <c:pt idx="26">
                  <c:v>3.0888016639324649E-9</c:v>
                </c:pt>
                <c:pt idx="27">
                  <c:v>3.2018098410859685E-9</c:v>
                </c:pt>
                <c:pt idx="28">
                  <c:v>3.2596390514474993E-9</c:v>
                </c:pt>
                <c:pt idx="29">
                  <c:v>3.2645125218088273E-9</c:v>
                </c:pt>
                <c:pt idx="30">
                  <c:v>3.2239136617023737E-9</c:v>
                </c:pt>
                <c:pt idx="31">
                  <c:v>3.1438318553167547E-9</c:v>
                </c:pt>
                <c:pt idx="32">
                  <c:v>3.0295864429369717E-9</c:v>
                </c:pt>
                <c:pt idx="33">
                  <c:v>2.8863285505522356E-9</c:v>
                </c:pt>
                <c:pt idx="34">
                  <c:v>2.7193380141068656E-9</c:v>
                </c:pt>
                <c:pt idx="35">
                  <c:v>2.5341634324177522E-9</c:v>
                </c:pt>
                <c:pt idx="36">
                  <c:v>2.3366420593422566E-9</c:v>
                </c:pt>
                <c:pt idx="37">
                  <c:v>2.132825659852307E-9</c:v>
                </c:pt>
                <c:pt idx="38">
                  <c:v>1.9288346278135842E-9</c:v>
                </c:pt>
                <c:pt idx="39">
                  <c:v>1.7306627099961298E-9</c:v>
                </c:pt>
                <c:pt idx="40">
                  <c:v>1.5439558284201073E-9</c:v>
                </c:pt>
                <c:pt idx="41">
                  <c:v>1.3737888204867482E-9</c:v>
                </c:pt>
                <c:pt idx="42">
                  <c:v>1.2244623571208813E-9</c:v>
                </c:pt>
                <c:pt idx="43">
                  <c:v>1.0993385482854695E-9</c:v>
                </c:pt>
                <c:pt idx="44">
                  <c:v>1.0007281898085213E-9</c:v>
                </c:pt>
                <c:pt idx="45">
                  <c:v>9.2983608956600048E-10</c:v>
                </c:pt>
                <c:pt idx="46">
                  <c:v>8.8653991022546321E-10</c:v>
                </c:pt>
                <c:pt idx="47">
                  <c:v>8.7040001711186291E-10</c:v>
                </c:pt>
                <c:pt idx="48">
                  <c:v>8.792392946961071E-10</c:v>
                </c:pt>
                <c:pt idx="49">
                  <c:v>9.1034844335532802E-10</c:v>
                </c:pt>
                <c:pt idx="50">
                  <c:v>9.6035385030975441E-10</c:v>
                </c:pt>
                <c:pt idx="51">
                  <c:v>1.0253792107016035E-9</c:v>
                </c:pt>
                <c:pt idx="52">
                  <c:v>1.1012087874335216E-9</c:v>
                </c:pt>
                <c:pt idx="53">
                  <c:v>1.1834462763770164E-9</c:v>
                </c:pt>
                <c:pt idx="54">
                  <c:v>1.2676655041358607E-9</c:v>
                </c:pt>
                <c:pt idx="55">
                  <c:v>1.3495510536420658E-9</c:v>
                </c:pt>
                <c:pt idx="56">
                  <c:v>1.4250282258743118E-9</c:v>
                </c:pt>
                <c:pt idx="57">
                  <c:v>1.4903824304312002E-9</c:v>
                </c:pt>
                <c:pt idx="58">
                  <c:v>1.542368202711606E-9</c:v>
                </c:pt>
                <c:pt idx="59">
                  <c:v>1.5783076460233468E-9</c:v>
                </c:pt>
                <c:pt idx="60">
                  <c:v>1.5961773324460118E-9</c:v>
                </c:pt>
                <c:pt idx="61">
                  <c:v>1.5946817212676985E-9</c:v>
                </c:pt>
                <c:pt idx="62">
                  <c:v>1.5733101354378115E-9</c:v>
                </c:pt>
                <c:pt idx="63">
                  <c:v>1.532373458656594E-9</c:v>
                </c:pt>
                <c:pt idx="64">
                  <c:v>1.4730161527596378E-9</c:v>
                </c:pt>
                <c:pt idx="65">
                  <c:v>1.3971991111019269E-9</c:v>
                </c:pt>
                <c:pt idx="66">
                  <c:v>1.3076493845890511E-9</c:v>
                </c:pt>
                <c:pt idx="67">
                  <c:v>1.2077740148883346E-9</c:v>
                </c:pt>
                <c:pt idx="68">
                  <c:v>1.1015370815445236E-9</c:v>
                </c:pt>
                <c:pt idx="69">
                  <c:v>9.9330150740441103E-10</c:v>
                </c:pt>
                <c:pt idx="70">
                  <c:v>8.8763998407615577E-10</c:v>
                </c:pt>
                <c:pt idx="71">
                  <c:v>7.8912229210812079E-10</c:v>
                </c:pt>
                <c:pt idx="72">
                  <c:v>7.0208897237363526E-10</c:v>
                </c:pt>
                <c:pt idx="73">
                  <c:v>6.3042342509076698E-10</c:v>
                </c:pt>
                <c:pt idx="74">
                  <c:v>5.7733578189639863E-10</c:v>
                </c:pt>
                <c:pt idx="75">
                  <c:v>5.451721359308011E-10</c:v>
                </c:pt>
                <c:pt idx="76">
                  <c:v>5.352618556390189E-10</c:v>
                </c:pt>
                <c:pt idx="77">
                  <c:v>5.4781383250018173E-10</c:v>
                </c:pt>
                <c:pt idx="78">
                  <c:v>5.8186981645572774E-10</c:v>
                </c:pt>
                <c:pt idx="79">
                  <c:v>6.3531974780282947E-10</c:v>
                </c:pt>
                <c:pt idx="80">
                  <c:v>7.0498050314068043E-10</c:v>
                </c:pt>
                <c:pt idx="81">
                  <c:v>7.8673601155312293E-10</c:v>
                </c:pt>
                <c:pt idx="82">
                  <c:v>8.7573346986462671E-10</c:v>
                </c:pt>
                <c:pt idx="83">
                  <c:v>9.6662751766169825E-10</c:v>
                </c:pt>
                <c:pt idx="84">
                  <c:v>1.053861752117741E-9</c:v>
                </c:pt>
                <c:pt idx="85">
                  <c:v>1.1319748466908204E-9</c:v>
                </c:pt>
                <c:pt idx="86">
                  <c:v>1.195916732994689E-9</c:v>
                </c:pt>
                <c:pt idx="87">
                  <c:v>1.2413587883922828E-9</c:v>
                </c:pt>
                <c:pt idx="88">
                  <c:v>1.2649807806019193E-9</c:v>
                </c:pt>
                <c:pt idx="89">
                  <c:v>1.2647165880007347E-9</c:v>
                </c:pt>
                <c:pt idx="90">
                  <c:v>1.2399406740482017E-9</c:v>
                </c:pt>
                <c:pt idx="91">
                  <c:v>1.191578250296167E-9</c:v>
                </c:pt>
                <c:pt idx="92">
                  <c:v>1.1221243500807266E-9</c:v>
                </c:pt>
                <c:pt idx="93">
                  <c:v>1.0355609307322462E-9</c:v>
                </c:pt>
                <c:pt idx="94">
                  <c:v>9.3716676517405156E-10</c:v>
                </c:pt>
                <c:pt idx="95">
                  <c:v>8.3322218220982194E-10</c:v>
                </c:pt>
                <c:pt idx="96">
                  <c:v>7.3061929419056579E-10</c:v>
                </c:pt>
                <c:pt idx="97">
                  <c:v>6.3639753933446092E-10</c:v>
                </c:pt>
                <c:pt idx="98">
                  <c:v>5.5723323057027037E-10</c:v>
                </c:pt>
                <c:pt idx="99">
                  <c:v>4.9891928789466085E-10</c:v>
                </c:pt>
                <c:pt idx="100">
                  <c:v>4.6587636665953492E-10</c:v>
                </c:pt>
                <c:pt idx="101">
                  <c:v>4.6073830702770134E-10</c:v>
                </c:pt>
                <c:pt idx="102">
                  <c:v>4.8405266104417703E-10</c:v>
                </c:pt>
                <c:pt idx="103">
                  <c:v>5.3413086778933845E-10</c:v>
                </c:pt>
                <c:pt idx="104">
                  <c:v>6.0707274454258296E-10</c:v>
                </c:pt>
                <c:pt idx="105">
                  <c:v>6.9697702788189466E-10</c:v>
                </c:pt>
                <c:pt idx="106">
                  <c:v>7.9633469906187061E-10</c:v>
                </c:pt>
                <c:pt idx="107">
                  <c:v>8.9658588096732347E-10</c:v>
                </c:pt>
                <c:pt idx="108">
                  <c:v>9.8880537954837129E-10</c:v>
                </c:pt>
                <c:pt idx="109">
                  <c:v>1.0644676249891852E-9</c:v>
                </c:pt>
                <c:pt idx="110">
                  <c:v>1.1162300124338501E-9</c:v>
                </c:pt>
                <c:pt idx="111">
                  <c:v>1.1386656047310897E-9</c:v>
                </c:pt>
                <c:pt idx="112">
                  <c:v>1.1288730249745507E-9</c:v>
                </c:pt>
                <c:pt idx="113">
                  <c:v>1.0868942658964175E-9</c:v>
                </c:pt>
                <c:pt idx="114">
                  <c:v>1.0158810347824922E-9</c:v>
                </c:pt>
                <c:pt idx="115">
                  <c:v>9.2196765423801845E-10</c:v>
                </c:pt>
                <c:pt idx="116">
                  <c:v>8.1383322861432005E-10</c:v>
                </c:pt>
                <c:pt idx="117">
                  <c:v>7.0196649891376578E-10</c:v>
                </c:pt>
                <c:pt idx="118">
                  <c:v>5.97681068304085E-10</c:v>
                </c:pt>
                <c:pt idx="119">
                  <c:v>5.1196283424674097E-10</c:v>
                </c:pt>
                <c:pt idx="120">
                  <c:v>4.542610250669106E-10</c:v>
                </c:pt>
                <c:pt idx="121">
                  <c:v>4.31354471639317E-10</c:v>
                </c:pt>
                <c:pt idx="122">
                  <c:v>4.4643143912018473E-10</c:v>
                </c:pt>
                <c:pt idx="123">
                  <c:v>4.9851160017388005E-10</c:v>
                </c:pt>
                <c:pt idx="124">
                  <c:v>5.8231158090468396E-10</c:v>
                </c:pt>
                <c:pt idx="125">
                  <c:v>6.8861226879617835E-10</c:v>
                </c:pt>
                <c:pt idx="126">
                  <c:v>8.051303161528458E-10</c:v>
                </c:pt>
                <c:pt idx="127">
                  <c:v>9.1783355269723416E-10</c:v>
                </c:pt>
                <c:pt idx="128">
                  <c:v>1.0125773353687659E-9</c:v>
                </c:pt>
                <c:pt idx="129">
                  <c:v>1.0768840420779179E-9</c:v>
                </c:pt>
                <c:pt idx="130">
                  <c:v>1.1016489461566512E-9</c:v>
                </c:pt>
                <c:pt idx="131">
                  <c:v>1.0825399566815938E-9</c:v>
                </c:pt>
                <c:pt idx="132">
                  <c:v>1.020872017424777E-9</c:v>
                </c:pt>
                <c:pt idx="133">
                  <c:v>9.2378250313248444E-10</c:v>
                </c:pt>
                <c:pt idx="134">
                  <c:v>8.0361103595540213E-10</c:v>
                </c:pt>
                <c:pt idx="135">
                  <c:v>6.764900965496774E-10</c:v>
                </c:pt>
                <c:pt idx="136">
                  <c:v>5.6027048232714531E-10</c:v>
                </c:pt>
                <c:pt idx="137">
                  <c:v>4.7202193456533275E-10</c:v>
                </c:pt>
                <c:pt idx="138">
                  <c:v>4.2544479571593866E-10</c:v>
                </c:pt>
                <c:pt idx="139">
                  <c:v>4.2858383144945782E-10</c:v>
                </c:pt>
                <c:pt idx="140">
                  <c:v>4.822344034299845E-10</c:v>
                </c:pt>
                <c:pt idx="141">
                  <c:v>5.7936534391353826E-10</c:v>
                </c:pt>
                <c:pt idx="142">
                  <c:v>7.0575367618151129E-10</c:v>
                </c:pt>
                <c:pt idx="143">
                  <c:v>8.4184670501573944E-10</c:v>
                </c:pt>
                <c:pt idx="144">
                  <c:v>9.6566076245243586E-10</c:v>
                </c:pt>
                <c:pt idx="145">
                  <c:v>1.056325130626341E-9</c:v>
                </c:pt>
                <c:pt idx="146">
                  <c:v>1.0977205999222674E-9</c:v>
                </c:pt>
                <c:pt idx="147">
                  <c:v>1.0815796655020105E-9</c:v>
                </c:pt>
                <c:pt idx="148">
                  <c:v>1.0094367581637347E-9</c:v>
                </c:pt>
                <c:pt idx="149">
                  <c:v>8.9295516158082759E-10</c:v>
                </c:pt>
                <c:pt idx="150">
                  <c:v>7.5240543119629683E-10</c:v>
                </c:pt>
                <c:pt idx="151">
                  <c:v>6.1347128991543444E-10</c:v>
                </c:pt>
                <c:pt idx="152">
                  <c:v>5.0231777160072536E-10</c:v>
                </c:pt>
                <c:pt idx="153">
                  <c:v>4.4121473958761592E-10</c:v>
                </c:pt>
                <c:pt idx="154">
                  <c:v>4.4336569973395562E-10</c:v>
                </c:pt>
                <c:pt idx="155">
                  <c:v>5.0987135516338198E-10</c:v>
                </c:pt>
                <c:pt idx="156">
                  <c:v>6.2878919792080482E-10</c:v>
                </c:pt>
                <c:pt idx="157">
                  <c:v>7.7685804526513581E-10</c:v>
                </c:pt>
                <c:pt idx="158">
                  <c:v>9.2377524085484689E-10</c:v>
                </c:pt>
                <c:pt idx="159">
                  <c:v>1.0383361285210367E-9</c:v>
                </c:pt>
                <c:pt idx="160">
                  <c:v>1.0952456826672626E-9</c:v>
                </c:pt>
                <c:pt idx="161">
                  <c:v>1.0811195489390631E-9</c:v>
                </c:pt>
                <c:pt idx="162">
                  <c:v>9.9820819931151716E-10</c:v>
                </c:pt>
                <c:pt idx="163">
                  <c:v>8.647484048030768E-10</c:v>
                </c:pt>
                <c:pt idx="164">
                  <c:v>7.1153556116589771E-10</c:v>
                </c:pt>
                <c:pt idx="165">
                  <c:v>5.7519544546155336E-10</c:v>
                </c:pt>
                <c:pt idx="166">
                  <c:v>4.8951808589180868E-10</c:v>
                </c:pt>
                <c:pt idx="167">
                  <c:v>4.7686777389818864E-10</c:v>
                </c:pt>
                <c:pt idx="168">
                  <c:v>5.4189197405308963E-10</c:v>
                </c:pt>
                <c:pt idx="169">
                  <c:v>6.693932582524074E-10</c:v>
                </c:pt>
                <c:pt idx="170">
                  <c:v>8.2731455972026774E-10</c:v>
                </c:pt>
                <c:pt idx="171">
                  <c:v>9.7449056521564676E-10</c:v>
                </c:pt>
                <c:pt idx="172">
                  <c:v>1.0714482682345081E-9</c:v>
                </c:pt>
                <c:pt idx="173">
                  <c:v>1.0914835280512225E-9</c:v>
                </c:pt>
                <c:pt idx="174">
                  <c:v>1.0288569087633153E-9</c:v>
                </c:pt>
                <c:pt idx="175">
                  <c:v>9.0145787581410398E-10</c:v>
                </c:pt>
                <c:pt idx="176">
                  <c:v>7.4666049083901839E-10</c:v>
                </c:pt>
                <c:pt idx="177">
                  <c:v>6.1103755840649733E-10</c:v>
                </c:pt>
                <c:pt idx="178">
                  <c:v>5.3658161170687785E-10</c:v>
                </c:pt>
                <c:pt idx="179">
                  <c:v>5.4746619306016983E-10</c:v>
                </c:pt>
                <c:pt idx="180">
                  <c:v>6.41627694268322E-10</c:v>
                </c:pt>
                <c:pt idx="181">
                  <c:v>7.9030888625076619E-10</c:v>
                </c:pt>
                <c:pt idx="182">
                  <c:v>9.4636739096475757E-10</c:v>
                </c:pt>
                <c:pt idx="183">
                  <c:v>1.0592528528686455E-9</c:v>
                </c:pt>
                <c:pt idx="184">
                  <c:v>1.0920372675094052E-9</c:v>
                </c:pt>
                <c:pt idx="185">
                  <c:v>1.0347016558233286E-9</c:v>
                </c:pt>
                <c:pt idx="186">
                  <c:v>9.0865793267013263E-10</c:v>
                </c:pt>
                <c:pt idx="187">
                  <c:v>7.602002986160493E-10</c:v>
                </c:pt>
                <c:pt idx="188">
                  <c:v>6.4447519946630829E-10</c:v>
                </c:pt>
                <c:pt idx="189">
                  <c:v>6.0529542876117283E-10</c:v>
                </c:pt>
                <c:pt idx="190">
                  <c:v>6.5821900897109399E-10</c:v>
                </c:pt>
                <c:pt idx="191">
                  <c:v>7.8371254418232622E-10</c:v>
                </c:pt>
                <c:pt idx="192">
                  <c:v>9.3380684171086189E-10</c:v>
                </c:pt>
                <c:pt idx="193">
                  <c:v>1.0504698424449777E-9</c:v>
                </c:pt>
                <c:pt idx="194">
                  <c:v>1.0889203302876711E-9</c:v>
                </c:pt>
                <c:pt idx="195">
                  <c:v>1.0364515014233319E-9</c:v>
                </c:pt>
                <c:pt idx="196">
                  <c:v>9.1847563241194926E-10</c:v>
                </c:pt>
                <c:pt idx="197">
                  <c:v>7.8839908622844411E-10</c:v>
                </c:pt>
                <c:pt idx="198">
                  <c:v>7.0460068843633882E-10</c:v>
                </c:pt>
                <c:pt idx="199">
                  <c:v>7.0548831311919596E-10</c:v>
                </c:pt>
                <c:pt idx="200">
                  <c:v>7.9060624488892448E-10</c:v>
                </c:pt>
                <c:pt idx="201">
                  <c:v>9.2118390526349843E-10</c:v>
                </c:pt>
                <c:pt idx="202">
                  <c:v>1.0377265657510136E-9</c:v>
                </c:pt>
                <c:pt idx="203">
                  <c:v>1.0882168554897918E-9</c:v>
                </c:pt>
                <c:pt idx="204">
                  <c:v>1.0533838682553276E-9</c:v>
                </c:pt>
                <c:pt idx="205">
                  <c:v>9.5631076297766063E-10</c:v>
                </c:pt>
                <c:pt idx="206">
                  <c:v>8.5086679601967492E-10</c:v>
                </c:pt>
                <c:pt idx="207">
                  <c:v>7.9412035261934294E-10</c:v>
                </c:pt>
                <c:pt idx="208">
                  <c:v>8.1665184943610398E-10</c:v>
                </c:pt>
                <c:pt idx="209">
                  <c:v>9.0657783821115304E-10</c:v>
                </c:pt>
                <c:pt idx="210">
                  <c:v>1.0163980773336595E-9</c:v>
                </c:pt>
                <c:pt idx="211">
                  <c:v>1.089476773873109E-9</c:v>
                </c:pt>
                <c:pt idx="212">
                  <c:v>1.091684915428763E-9</c:v>
                </c:pt>
                <c:pt idx="213">
                  <c:v>1.0301839892831736E-9</c:v>
                </c:pt>
                <c:pt idx="214">
                  <c:v>9.482297527787022E-10</c:v>
                </c:pt>
                <c:pt idx="215">
                  <c:v>8.9880398666224085E-10</c:v>
                </c:pt>
                <c:pt idx="216">
                  <c:v>9.1279683587700703E-10</c:v>
                </c:pt>
                <c:pt idx="217">
                  <c:v>9.8122944782822423E-10</c:v>
                </c:pt>
                <c:pt idx="218">
                  <c:v>1.0625906837390279E-9</c:v>
                </c:pt>
                <c:pt idx="219">
                  <c:v>1.1104517367945535E-9</c:v>
                </c:pt>
                <c:pt idx="220">
                  <c:v>1.1032699656888601E-9</c:v>
                </c:pt>
                <c:pt idx="221">
                  <c:v>1.0567934379948146E-9</c:v>
                </c:pt>
                <c:pt idx="222">
                  <c:v>1.0112230117428657E-9</c:v>
                </c:pt>
                <c:pt idx="223">
                  <c:v>1.0025802691697555E-9</c:v>
                </c:pt>
                <c:pt idx="224">
                  <c:v>1.0385844460085476E-9</c:v>
                </c:pt>
                <c:pt idx="225">
                  <c:v>1.095787846420891E-9</c:v>
                </c:pt>
                <c:pt idx="226">
                  <c:v>1.1389619153097679E-9</c:v>
                </c:pt>
                <c:pt idx="227">
                  <c:v>1.1473523477388363E-9</c:v>
                </c:pt>
                <c:pt idx="228">
                  <c:v>1.1279806336785185E-9</c:v>
                </c:pt>
                <c:pt idx="229">
                  <c:v>1.1070488736168749E-9</c:v>
                </c:pt>
                <c:pt idx="230">
                  <c:v>1.1078856712530193E-9</c:v>
                </c:pt>
                <c:pt idx="231">
                  <c:v>1.133780392297675E-9</c:v>
                </c:pt>
                <c:pt idx="232">
                  <c:v>1.1686837774910522E-9</c:v>
                </c:pt>
                <c:pt idx="233">
                  <c:v>1.1930330788128445E-9</c:v>
                </c:pt>
                <c:pt idx="234">
                  <c:v>1.1997234891491812E-9</c:v>
                </c:pt>
                <c:pt idx="235">
                  <c:v>1.1970090527517885E-9</c:v>
                </c:pt>
                <c:pt idx="236">
                  <c:v>1.1982097722715841E-9</c:v>
                </c:pt>
                <c:pt idx="237">
                  <c:v>1.2096037932288947E-9</c:v>
                </c:pt>
                <c:pt idx="238">
                  <c:v>1.2274650942300355E-9</c:v>
                </c:pt>
                <c:pt idx="239">
                  <c:v>1.2446889684679762E-9</c:v>
                </c:pt>
                <c:pt idx="240">
                  <c:v>1.2582964401510133E-9</c:v>
                </c:pt>
                <c:pt idx="241">
                  <c:v>1.2703997577939923E-9</c:v>
                </c:pt>
                <c:pt idx="242">
                  <c:v>1.2838825321125701E-9</c:v>
                </c:pt>
                <c:pt idx="243">
                  <c:v>1.2991760740575024E-9</c:v>
                </c:pt>
                <c:pt idx="244">
                  <c:v>1.3150731861052652E-9</c:v>
                </c:pt>
                <c:pt idx="245">
                  <c:v>1.3306744142712035E-9</c:v>
                </c:pt>
                <c:pt idx="246">
                  <c:v>1.3454013400771626E-9</c:v>
                </c:pt>
                <c:pt idx="247">
                  <c:v>1.358603390864356E-9</c:v>
                </c:pt>
                <c:pt idx="248">
                  <c:v>1.3712033429652291E-9</c:v>
                </c:pt>
                <c:pt idx="249">
                  <c:v>1.3866330276582801E-9</c:v>
                </c:pt>
                <c:pt idx="250">
                  <c:v>1.4066047656912092E-9</c:v>
                </c:pt>
                <c:pt idx="251">
                  <c:v>1.4255935971355363E-9</c:v>
                </c:pt>
                <c:pt idx="252">
                  <c:v>1.4348067861580971E-9</c:v>
                </c:pt>
                <c:pt idx="253">
                  <c:v>1.4360170755689676E-9</c:v>
                </c:pt>
                <c:pt idx="254">
                  <c:v>1.4464142104806653E-9</c:v>
                </c:pt>
                <c:pt idx="255">
                  <c:v>1.4791292944236376E-9</c:v>
                </c:pt>
                <c:pt idx="256">
                  <c:v>1.5188013845614061E-9</c:v>
                </c:pt>
                <c:pt idx="257">
                  <c:v>1.5322051184784472E-9</c:v>
                </c:pt>
                <c:pt idx="258">
                  <c:v>1.5144818000439914E-9</c:v>
                </c:pt>
                <c:pt idx="259">
                  <c:v>1.509645287153711E-9</c:v>
                </c:pt>
                <c:pt idx="260">
                  <c:v>1.558312364568341E-9</c:v>
                </c:pt>
                <c:pt idx="261">
                  <c:v>1.6293060780236673E-9</c:v>
                </c:pt>
                <c:pt idx="262">
                  <c:v>1.6445583249711041E-9</c:v>
                </c:pt>
                <c:pt idx="263">
                  <c:v>1.5916822650040206E-9</c:v>
                </c:pt>
                <c:pt idx="264">
                  <c:v>1.5650858681286238E-9</c:v>
                </c:pt>
                <c:pt idx="265">
                  <c:v>1.640271737971736E-9</c:v>
                </c:pt>
                <c:pt idx="266">
                  <c:v>1.7419650807775756E-9</c:v>
                </c:pt>
                <c:pt idx="267">
                  <c:v>1.7324917667361979E-9</c:v>
                </c:pt>
                <c:pt idx="268">
                  <c:v>1.6325672793848044E-9</c:v>
                </c:pt>
                <c:pt idx="269">
                  <c:v>1.6237319708602579E-9</c:v>
                </c:pt>
                <c:pt idx="270">
                  <c:v>1.7675622515039911E-9</c:v>
                </c:pt>
                <c:pt idx="271">
                  <c:v>1.8706087136287614E-9</c:v>
                </c:pt>
                <c:pt idx="272">
                  <c:v>1.7771128932751713E-9</c:v>
                </c:pt>
                <c:pt idx="273">
                  <c:v>1.6574992294645784E-9</c:v>
                </c:pt>
                <c:pt idx="274">
                  <c:v>1.7572782588520016E-9</c:v>
                </c:pt>
                <c:pt idx="275">
                  <c:v>1.9554279611909525E-9</c:v>
                </c:pt>
                <c:pt idx="276">
                  <c:v>1.9278405527942418E-9</c:v>
                </c:pt>
                <c:pt idx="277">
                  <c:v>1.728383530777867E-9</c:v>
                </c:pt>
                <c:pt idx="278">
                  <c:v>1.7445197153368571E-9</c:v>
                </c:pt>
                <c:pt idx="279">
                  <c:v>1.9947835367772817E-9</c:v>
                </c:pt>
                <c:pt idx="280">
                  <c:v>2.0412658407509224E-9</c:v>
                </c:pt>
                <c:pt idx="281">
                  <c:v>1.8009648760408652E-9</c:v>
                </c:pt>
                <c:pt idx="282">
                  <c:v>1.7585521962033106E-9</c:v>
                </c:pt>
                <c:pt idx="283">
                  <c:v>2.0458621534021286E-9</c:v>
                </c:pt>
                <c:pt idx="284">
                  <c:v>2.128881883540483E-9</c:v>
                </c:pt>
                <c:pt idx="285">
                  <c:v>1.8518443099311497E-9</c:v>
                </c:pt>
                <c:pt idx="286">
                  <c:v>1.8040903047372681E-9</c:v>
                </c:pt>
                <c:pt idx="287">
                  <c:v>2.1269697675924947E-9</c:v>
                </c:pt>
                <c:pt idx="288">
                  <c:v>2.1668468851743894E-9</c:v>
                </c:pt>
                <c:pt idx="289">
                  <c:v>1.844467754965332E-9</c:v>
                </c:pt>
                <c:pt idx="290">
                  <c:v>1.8759640192768278E-9</c:v>
                </c:pt>
                <c:pt idx="291">
                  <c:v>2.2197208035885971E-9</c:v>
                </c:pt>
                <c:pt idx="292">
                  <c:v>2.122955220950125E-9</c:v>
                </c:pt>
                <c:pt idx="293">
                  <c:v>1.8141444845909227E-9</c:v>
                </c:pt>
                <c:pt idx="294">
                  <c:v>2.0228430208040123E-9</c:v>
                </c:pt>
                <c:pt idx="295">
                  <c:v>2.2826269770508374E-9</c:v>
                </c:pt>
                <c:pt idx="296">
                  <c:v>1.9923200088528807E-9</c:v>
                </c:pt>
                <c:pt idx="297">
                  <c:v>1.8598173698621156E-9</c:v>
                </c:pt>
                <c:pt idx="298">
                  <c:v>2.2132199232761539E-9</c:v>
                </c:pt>
                <c:pt idx="299">
                  <c:v>2.1821285982991398E-9</c:v>
                </c:pt>
                <c:pt idx="300">
                  <c:v>1.8470634519054747E-9</c:v>
                </c:pt>
                <c:pt idx="301">
                  <c:v>2.048520729315456E-9</c:v>
                </c:pt>
                <c:pt idx="302">
                  <c:v>2.2512026639061542E-9</c:v>
                </c:pt>
                <c:pt idx="303">
                  <c:v>1.9240810526749616E-9</c:v>
                </c:pt>
                <c:pt idx="304">
                  <c:v>1.922046654413807E-9</c:v>
                </c:pt>
                <c:pt idx="305">
                  <c:v>2.2205813406035498E-9</c:v>
                </c:pt>
                <c:pt idx="306">
                  <c:v>1.9966535858873033E-9</c:v>
                </c:pt>
                <c:pt idx="307">
                  <c:v>1.8545254850732368E-9</c:v>
                </c:pt>
                <c:pt idx="308">
                  <c:v>2.1440774525363015E-9</c:v>
                </c:pt>
                <c:pt idx="309">
                  <c:v>2.0140829581398554E-9</c:v>
                </c:pt>
                <c:pt idx="310">
                  <c:v>1.8130246190197731E-9</c:v>
                </c:pt>
                <c:pt idx="311">
                  <c:v>2.0578816583800171E-9</c:v>
                </c:pt>
                <c:pt idx="312">
                  <c:v>1.9747112664503787E-9</c:v>
                </c:pt>
                <c:pt idx="313">
                  <c:v>1.7749090161084196E-9</c:v>
                </c:pt>
                <c:pt idx="314">
                  <c:v>1.9802501945838775E-9</c:v>
                </c:pt>
                <c:pt idx="315">
                  <c:v>1.8966577612681244E-9</c:v>
                </c:pt>
                <c:pt idx="316">
                  <c:v>1.7321445054440989E-9</c:v>
                </c:pt>
                <c:pt idx="317">
                  <c:v>1.9033565262575814E-9</c:v>
                </c:pt>
                <c:pt idx="318">
                  <c:v>1.7868972116499278E-9</c:v>
                </c:pt>
                <c:pt idx="319">
                  <c:v>1.6785976801524593E-9</c:v>
                </c:pt>
                <c:pt idx="320">
                  <c:v>1.8030053310425944E-9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1127</c:v>
                </c:pt>
                <c:pt idx="1">
                  <c:v>1131</c:v>
                </c:pt>
                <c:pt idx="2">
                  <c:v>1135</c:v>
                </c:pt>
                <c:pt idx="3">
                  <c:v>1139</c:v>
                </c:pt>
                <c:pt idx="4">
                  <c:v>1143</c:v>
                </c:pt>
                <c:pt idx="5">
                  <c:v>1147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2.6658877388326507</c:v>
                </c:pt>
                <c:pt idx="1">
                  <c:v>2.5295885560685347</c:v>
                </c:pt>
                <c:pt idx="2">
                  <c:v>2.5236412070987209</c:v>
                </c:pt>
                <c:pt idx="3">
                  <c:v>2.6472105090319991</c:v>
                </c:pt>
                <c:pt idx="4">
                  <c:v>2.8899098709263722</c:v>
                </c:pt>
                <c:pt idx="5">
                  <c:v>3.233501352802707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850</c:v>
                </c:pt>
                <c:pt idx="1">
                  <c:v>882</c:v>
                </c:pt>
                <c:pt idx="2">
                  <c:v>914</c:v>
                </c:pt>
                <c:pt idx="3">
                  <c:v>946</c:v>
                </c:pt>
                <c:pt idx="4">
                  <c:v>978</c:v>
                </c:pt>
                <c:pt idx="5">
                  <c:v>1010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2.6906778288190707</c:v>
                </c:pt>
                <c:pt idx="1">
                  <c:v>2.5968683641561001</c:v>
                </c:pt>
                <c:pt idx="2">
                  <c:v>2.5292430725001909</c:v>
                </c:pt>
                <c:pt idx="3">
                  <c:v>2.5139054668047209</c:v>
                </c:pt>
                <c:pt idx="4">
                  <c:v>2.6260931427546854</c:v>
                </c:pt>
                <c:pt idx="5">
                  <c:v>2.8416298339224233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0.2</c:v>
                </c:pt>
                <c:pt idx="1">
                  <c:v>0.21200000000000002</c:v>
                </c:pt>
                <c:pt idx="2">
                  <c:v>0.224</c:v>
                </c:pt>
                <c:pt idx="3">
                  <c:v>0.23600000000000002</c:v>
                </c:pt>
                <c:pt idx="4">
                  <c:v>0.248</c:v>
                </c:pt>
                <c:pt idx="5">
                  <c:v>0.26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3.0063165349272714</c:v>
                </c:pt>
                <c:pt idx="1">
                  <c:v>2.7468601029014486</c:v>
                </c:pt>
                <c:pt idx="2">
                  <c:v>2.5505129029146829</c:v>
                </c:pt>
                <c:pt idx="3">
                  <c:v>2.4379883475648887</c:v>
                </c:pt>
                <c:pt idx="4">
                  <c:v>2.4349110636290887</c:v>
                </c:pt>
                <c:pt idx="5">
                  <c:v>2.5687319604686065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0.1</c:v>
                </c:pt>
                <c:pt idx="1">
                  <c:v>0.12000000000000001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2.9403052972458226</c:v>
                </c:pt>
                <c:pt idx="1">
                  <c:v>2.6136376068673113</c:v>
                </c:pt>
                <c:pt idx="2">
                  <c:v>2.4463420335817512</c:v>
                </c:pt>
                <c:pt idx="3">
                  <c:v>2.4364073992429733</c:v>
                </c:pt>
                <c:pt idx="4">
                  <c:v>2.5837859551154283</c:v>
                </c:pt>
                <c:pt idx="5">
                  <c:v>2.8899106010499285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2.9685074244422829</c:v>
                </c:pt>
                <c:pt idx="1">
                  <c:v>2.6347786409853526</c:v>
                </c:pt>
                <c:pt idx="2">
                  <c:v>2.4185438753447945</c:v>
                </c:pt>
                <c:pt idx="3">
                  <c:v>2.5363362365176796</c:v>
                </c:pt>
                <c:pt idx="4">
                  <c:v>3.0502840560827247</c:v>
                </c:pt>
                <c:pt idx="5">
                  <c:v>3.9194312871650956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50</c:v>
                </c:pt>
                <c:pt idx="1">
                  <c:v>130</c:v>
                </c:pt>
                <c:pt idx="2">
                  <c:v>210</c:v>
                </c:pt>
                <c:pt idx="3">
                  <c:v>290</c:v>
                </c:pt>
                <c:pt idx="4">
                  <c:v>370</c:v>
                </c:pt>
                <c:pt idx="5">
                  <c:v>450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2.6573152270977052</c:v>
                </c:pt>
                <c:pt idx="1">
                  <c:v>2.4137362460534395</c:v>
                </c:pt>
                <c:pt idx="2">
                  <c:v>2.460716544609137</c:v>
                </c:pt>
                <c:pt idx="3">
                  <c:v>2.5134944065227862</c:v>
                </c:pt>
                <c:pt idx="4">
                  <c:v>2.5718262461493921</c:v>
                </c:pt>
                <c:pt idx="5">
                  <c:v>2.61593879929706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1.9700000000000002E-6</c:v>
                </c:pt>
                <c:pt idx="1">
                  <c:v>2.0100000000000002E-6</c:v>
                </c:pt>
                <c:pt idx="2">
                  <c:v>2.0500000000000003E-6</c:v>
                </c:pt>
                <c:pt idx="3">
                  <c:v>2.0899999999999999E-6</c:v>
                </c:pt>
                <c:pt idx="4">
                  <c:v>2.1299999999999999E-6</c:v>
                </c:pt>
                <c:pt idx="5">
                  <c:v>2.17E-6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2.9060906223482954</c:v>
                </c:pt>
                <c:pt idx="1">
                  <c:v>2.6583990420285475</c:v>
                </c:pt>
                <c:pt idx="2">
                  <c:v>2.5208265188148054</c:v>
                </c:pt>
                <c:pt idx="3">
                  <c:v>2.6231545609759115</c:v>
                </c:pt>
                <c:pt idx="4">
                  <c:v>3.5521183511513037</c:v>
                </c:pt>
                <c:pt idx="5">
                  <c:v>5.589902599389351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1.9E-6</c:v>
                </c:pt>
                <c:pt idx="1">
                  <c:v>1.9400000000000001E-6</c:v>
                </c:pt>
                <c:pt idx="2">
                  <c:v>1.9800000000000001E-6</c:v>
                </c:pt>
                <c:pt idx="3">
                  <c:v>2.0199999999999997E-6</c:v>
                </c:pt>
                <c:pt idx="4">
                  <c:v>2.0599999999999998E-6</c:v>
                </c:pt>
                <c:pt idx="5">
                  <c:v>2.0999999999999998E-6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3.2423800891692531</c:v>
                </c:pt>
                <c:pt idx="1">
                  <c:v>2.7184911530172102</c:v>
                </c:pt>
                <c:pt idx="2">
                  <c:v>2.4624230317440796</c:v>
                </c:pt>
                <c:pt idx="3">
                  <c:v>2.6602190612372647</c:v>
                </c:pt>
                <c:pt idx="4">
                  <c:v>3.5121843494127551</c:v>
                </c:pt>
                <c:pt idx="5">
                  <c:v>5.1807785531762427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1.7799999999999999E-6</c:v>
                </c:pt>
                <c:pt idx="1">
                  <c:v>1.792E-6</c:v>
                </c:pt>
                <c:pt idx="2">
                  <c:v>1.804E-6</c:v>
                </c:pt>
                <c:pt idx="3">
                  <c:v>1.8159999999999999E-6</c:v>
                </c:pt>
                <c:pt idx="4">
                  <c:v>1.8279999999999999E-6</c:v>
                </c:pt>
                <c:pt idx="5">
                  <c:v>1.84E-6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2.539234860530112</c:v>
                </c:pt>
                <c:pt idx="1">
                  <c:v>2.4923080762437446</c:v>
                </c:pt>
                <c:pt idx="2">
                  <c:v>2.4632202492809894</c:v>
                </c:pt>
                <c:pt idx="3">
                  <c:v>2.4519116652540451</c:v>
                </c:pt>
                <c:pt idx="4">
                  <c:v>2.458353381676575</c:v>
                </c:pt>
                <c:pt idx="5">
                  <c:v>2.4825441209745427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3A090311-EF19-43CE-A30E-485F45E2F9F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F45" sqref="F45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SUM(Y3:Y323)/320</f>
        <v>2.4517451673921098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8.1824504007600007E-3</v>
      </c>
      <c r="J3" s="109">
        <v>5.019606115051944E-9</v>
      </c>
      <c r="K3" s="109">
        <v>5.1308686894363426E-10</v>
      </c>
      <c r="L3" s="152">
        <v>4.4785997331777269E-9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4.4785759436901145E-9</v>
      </c>
      <c r="V3" s="127">
        <v>4.4785997331777269E-9</v>
      </c>
      <c r="W3" s="128">
        <v>4.4786208397036286E-9</v>
      </c>
      <c r="X3" s="128">
        <f t="shared" ref="X3:X66" si="0">(U3+2*V3+W3)/4</f>
        <v>4.4785990624372994E-9</v>
      </c>
      <c r="Y3" s="139">
        <f t="shared" ref="Y3:Y66" si="1">(J3-X3)*(J3-X3)/(K3*K3)</f>
        <v>1.1117933008497265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1.9800077228275033E-6</v>
      </c>
      <c r="D4" s="19">
        <v>9.9999999999999994E-12</v>
      </c>
      <c r="E4" s="19">
        <v>5.0000000000000001E-9</v>
      </c>
      <c r="F4" s="149">
        <f>H4*H8</f>
        <v>920.65585213208135</v>
      </c>
      <c r="G4" s="107">
        <v>11.808581154786037</v>
      </c>
      <c r="H4" s="107">
        <v>920.65585213208135</v>
      </c>
      <c r="I4" s="109">
        <v>8.2642749047700005E-3</v>
      </c>
      <c r="J4" s="109">
        <v>4.1004317605269385E-9</v>
      </c>
      <c r="K4" s="109">
        <v>4.4091589510440594E-10</v>
      </c>
      <c r="L4" s="152">
        <v>4.6602975711698371E-9</v>
      </c>
      <c r="M4" s="27"/>
      <c r="N4" s="18">
        <v>7.7459206939053067E-9</v>
      </c>
      <c r="O4" s="18">
        <v>3.9120658998460512E-14</v>
      </c>
      <c r="P4" s="18">
        <v>1.9560329499230255E-11</v>
      </c>
      <c r="Q4" s="28">
        <v>4.0647063213562644</v>
      </c>
      <c r="R4" s="60">
        <v>100</v>
      </c>
      <c r="S4" s="57">
        <v>0</v>
      </c>
      <c r="U4" s="127">
        <v>4.6602703606164465E-9</v>
      </c>
      <c r="V4" s="127">
        <v>4.6602975711698371E-9</v>
      </c>
      <c r="W4" s="128">
        <v>4.6603218059852076E-9</v>
      </c>
      <c r="X4" s="128">
        <f t="shared" si="0"/>
        <v>4.6602968272353323E-9</v>
      </c>
      <c r="Y4" s="139">
        <f t="shared" si="1"/>
        <v>1.6123348056944684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1.8308004871491046E-6</v>
      </c>
      <c r="D5" s="101">
        <v>1.5392483148537927E-10</v>
      </c>
      <c r="E5" s="101">
        <v>5.0509225500401457E-8</v>
      </c>
      <c r="F5" s="149">
        <f>(H10-H4)*H8</f>
        <v>212.5326655117675</v>
      </c>
      <c r="G5" s="107">
        <f>F5</f>
        <v>212.5326655117675</v>
      </c>
      <c r="H5" s="111" t="s">
        <v>599</v>
      </c>
      <c r="I5" s="109">
        <v>8.3469176538099998E-3</v>
      </c>
      <c r="J5" s="109">
        <v>5.3961519498183441E-9</v>
      </c>
      <c r="K5" s="109">
        <v>4.9564508734094395E-10</v>
      </c>
      <c r="L5" s="152">
        <v>4.84935160627232E-9</v>
      </c>
      <c r="M5" s="27"/>
      <c r="N5" s="18">
        <v>6.3805389006428917E-8</v>
      </c>
      <c r="O5" s="18">
        <v>3.2224818252381934E-13</v>
      </c>
      <c r="P5" s="18">
        <v>1.6112409126190968E-10</v>
      </c>
      <c r="Q5" s="28">
        <v>3.0267492483847049</v>
      </c>
      <c r="R5" s="60">
        <v>100</v>
      </c>
      <c r="S5" s="57">
        <v>7.7459206939053067E-9</v>
      </c>
      <c r="U5" s="127">
        <v>4.8493203970740062E-9</v>
      </c>
      <c r="V5" s="127">
        <v>4.84935160627232E-9</v>
      </c>
      <c r="W5" s="128">
        <v>4.8493795156736278E-9</v>
      </c>
      <c r="X5" s="128">
        <f t="shared" si="0"/>
        <v>4.8493507813230685E-9</v>
      </c>
      <c r="Y5" s="139">
        <f t="shared" si="1"/>
        <v>1.2170747600109215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9.6774070930268282E-7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0.03</v>
      </c>
      <c r="I6" s="109">
        <v>8.4303868303500003E-3</v>
      </c>
      <c r="J6" s="109">
        <v>4.9068889813811271E-9</v>
      </c>
      <c r="K6" s="109">
        <v>4.675965970612448E-10</v>
      </c>
      <c r="L6" s="152">
        <v>5.046056032744827E-9</v>
      </c>
      <c r="M6" s="27"/>
      <c r="N6" s="18">
        <v>1.4490382761246032E-7</v>
      </c>
      <c r="O6" s="18">
        <v>7.318346587332186E-13</v>
      </c>
      <c r="P6" s="18">
        <v>3.6591732936660931E-10</v>
      </c>
      <c r="Q6" s="28">
        <v>1.6843221405034949</v>
      </c>
      <c r="R6" s="60">
        <v>104.06470632135627</v>
      </c>
      <c r="S6" s="57">
        <v>7.7459206939053067E-9</v>
      </c>
      <c r="U6" s="127">
        <v>5.0460201335840341E-9</v>
      </c>
      <c r="V6" s="127">
        <v>5.046056032744827E-9</v>
      </c>
      <c r="W6" s="128">
        <v>5.0460882749269928E-9</v>
      </c>
      <c r="X6" s="128">
        <f t="shared" si="0"/>
        <v>5.0460551185001702E-9</v>
      </c>
      <c r="Y6" s="139">
        <f t="shared" si="1"/>
        <v>8.8577712647990831E-2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22.028473791051074</v>
      </c>
      <c r="G7" s="102">
        <v>5</v>
      </c>
      <c r="H7" s="134" t="s">
        <v>600</v>
      </c>
      <c r="I7" s="109">
        <v>8.5146906986500008E-3</v>
      </c>
      <c r="J7" s="109">
        <v>4.7892055396779672E-9</v>
      </c>
      <c r="K7" s="109">
        <v>4.499812431970882E-10</v>
      </c>
      <c r="L7" s="152">
        <v>5.2507161594797734E-9</v>
      </c>
      <c r="M7" s="27"/>
      <c r="N7" s="18">
        <v>2.3667095366964535E-7</v>
      </c>
      <c r="O7" s="18">
        <v>1.1953031846344163E-12</v>
      </c>
      <c r="P7" s="18">
        <v>5.9765159231720819E-10</v>
      </c>
      <c r="Q7" s="28">
        <v>1.2340503649357659</v>
      </c>
      <c r="R7" s="60">
        <v>104.06470632135627</v>
      </c>
      <c r="S7" s="57">
        <v>6.3805389006428917E-8</v>
      </c>
      <c r="U7" s="127">
        <v>5.2506747485396522E-9</v>
      </c>
      <c r="V7" s="127">
        <v>5.2507161594797734E-9</v>
      </c>
      <c r="W7" s="128">
        <v>5.25075352275704E-9</v>
      </c>
      <c r="X7" s="128">
        <f t="shared" si="0"/>
        <v>5.2507151475640602E-9</v>
      </c>
      <c r="Y7" s="139">
        <f t="shared" si="1"/>
        <v>1.0518956789187144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2.0369620759712045E-6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8.5998376056400008E-3</v>
      </c>
      <c r="J8" s="109">
        <v>6.2628434433249744E-9</v>
      </c>
      <c r="K8" s="109">
        <v>4.9842132733282245E-10</v>
      </c>
      <c r="L8" s="152">
        <v>5.4636482402346338E-9</v>
      </c>
      <c r="M8" s="27"/>
      <c r="N8" s="18">
        <v>3.3351740714403901E-7</v>
      </c>
      <c r="O8" s="18">
        <v>1.6844247792517059E-12</v>
      </c>
      <c r="P8" s="18">
        <v>8.422123896258529E-10</v>
      </c>
      <c r="Q8" s="28">
        <v>1.0042532929888688</v>
      </c>
      <c r="R8" s="60">
        <v>107.09145556974097</v>
      </c>
      <c r="S8" s="57">
        <v>6.3805389006428917E-8</v>
      </c>
      <c r="U8" s="127">
        <v>5.4636003418354074E-9</v>
      </c>
      <c r="V8" s="127">
        <v>5.4636482402346338E-9</v>
      </c>
      <c r="W8" s="128">
        <v>5.4636916684096741E-9</v>
      </c>
      <c r="X8" s="128">
        <f t="shared" si="0"/>
        <v>5.4636471226785877E-9</v>
      </c>
      <c r="Y8" s="139">
        <f t="shared" si="1"/>
        <v>2.5710689100460149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8.6858359817000002E-3</v>
      </c>
      <c r="J9" s="109">
        <v>5.7341781680146686E-9</v>
      </c>
      <c r="K9" s="109">
        <v>4.6956080489193004E-10</v>
      </c>
      <c r="L9" s="152">
        <v>5.685179172279765E-9</v>
      </c>
      <c r="M9" s="27"/>
      <c r="N9" s="18">
        <v>4.3288442337911342E-7</v>
      </c>
      <c r="O9" s="18">
        <v>2.1862764391693533E-12</v>
      </c>
      <c r="P9" s="18">
        <v>1.0931382195846767E-9</v>
      </c>
      <c r="Q9" s="28">
        <v>0.86717829394668777</v>
      </c>
      <c r="R9" s="60">
        <v>107.09145556974097</v>
      </c>
      <c r="S9" s="57">
        <v>1.4490382761246032E-7</v>
      </c>
      <c r="U9" s="127">
        <v>5.6851236278774274E-9</v>
      </c>
      <c r="V9" s="127">
        <v>5.685179172279765E-9</v>
      </c>
      <c r="W9" s="128">
        <v>5.6852297967507541E-9</v>
      </c>
      <c r="X9" s="128">
        <f t="shared" si="0"/>
        <v>5.6851779422969275E-9</v>
      </c>
      <c r="Y9" s="139">
        <f t="shared" si="1"/>
        <v>1.0889613966220894E-2</v>
      </c>
      <c r="AA9" s="73"/>
      <c r="AB9" s="176"/>
      <c r="AC9" s="176"/>
      <c r="AD9" s="176"/>
      <c r="AJ9" s="135"/>
    </row>
    <row r="10" spans="1:36" x14ac:dyDescent="0.35">
      <c r="A10" s="69">
        <v>10.874865721316487</v>
      </c>
      <c r="B10" s="100"/>
      <c r="C10" s="101"/>
      <c r="D10" s="101"/>
      <c r="E10" s="101"/>
      <c r="F10" s="102"/>
      <c r="G10" s="102"/>
      <c r="H10" s="107">
        <v>1133.1885176438489</v>
      </c>
      <c r="I10" s="109">
        <v>8.7726943415100001E-3</v>
      </c>
      <c r="J10" s="109">
        <v>5.7833548922768588E-9</v>
      </c>
      <c r="K10" s="109">
        <v>4.654985498013702E-10</v>
      </c>
      <c r="L10" s="152">
        <v>5.9156460907021437E-9</v>
      </c>
      <c r="M10" s="27"/>
      <c r="N10" s="18">
        <v>5.33496428652095E-7</v>
      </c>
      <c r="O10" s="18">
        <v>2.694415897985731E-12</v>
      </c>
      <c r="P10" s="18">
        <v>1.3472079489928657E-9</v>
      </c>
      <c r="Q10" s="28">
        <v>0.77902355236708853</v>
      </c>
      <c r="R10" s="60">
        <v>108.77577771024447</v>
      </c>
      <c r="S10" s="57">
        <v>1.4490382761246032E-7</v>
      </c>
      <c r="U10" s="127">
        <v>5.9155815291311724E-9</v>
      </c>
      <c r="V10" s="127">
        <v>5.9156460907021437E-9</v>
      </c>
      <c r="W10" s="128">
        <v>5.9157052654088348E-9</v>
      </c>
      <c r="X10" s="128">
        <f t="shared" si="0"/>
        <v>5.9156447439860734E-9</v>
      </c>
      <c r="Y10" s="139">
        <f t="shared" si="1"/>
        <v>8.0763734902771347E-2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8.86042128493E-3</v>
      </c>
      <c r="J11" s="109">
        <v>5.351912722282373E-9</v>
      </c>
      <c r="K11" s="109">
        <v>4.5250910709722614E-10</v>
      </c>
      <c r="L11" s="152">
        <v>6.1553955398575149E-9</v>
      </c>
      <c r="M11" s="27"/>
      <c r="N11" s="18">
        <v>6.3469456464737152E-7</v>
      </c>
      <c r="O11" s="18">
        <v>3.2055156014291243E-12</v>
      </c>
      <c r="P11" s="18">
        <v>1.6027578007145623E-9</v>
      </c>
      <c r="Q11" s="28">
        <v>0.72059707809633522</v>
      </c>
      <c r="R11" s="60">
        <v>108.77577771024447</v>
      </c>
      <c r="S11" s="57">
        <v>2.3667095366964535E-7</v>
      </c>
      <c r="U11" s="127">
        <v>6.155320352594906E-9</v>
      </c>
      <c r="V11" s="127">
        <v>6.1553955398575149E-9</v>
      </c>
      <c r="W11" s="128">
        <v>6.1554648745465843E-9</v>
      </c>
      <c r="X11" s="128">
        <f t="shared" si="0"/>
        <v>6.1553940767141306E-9</v>
      </c>
      <c r="Y11" s="139">
        <f t="shared" si="1"/>
        <v>3.1528038899478683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8.9490254977800006E-3</v>
      </c>
      <c r="J12" s="109">
        <v>6.2936056110525417E-9</v>
      </c>
      <c r="K12" s="109">
        <v>4.7395882771569457E-10</v>
      </c>
      <c r="L12" s="152">
        <v>6.4047818918534332E-9</v>
      </c>
      <c r="M12" s="27"/>
      <c r="N12" s="18">
        <v>7.3614119408013532E-7</v>
      </c>
      <c r="O12" s="18">
        <v>3.7178703173384912E-12</v>
      </c>
      <c r="P12" s="18">
        <v>1.8589351586692456E-9</v>
      </c>
      <c r="Q12" s="28">
        <v>0.68228915094370224</v>
      </c>
      <c r="R12" s="60">
        <v>110.00982807518024</v>
      </c>
      <c r="S12" s="57">
        <v>2.3667095366964535E-7</v>
      </c>
      <c r="U12" s="127">
        <v>6.4046942254617875E-9</v>
      </c>
      <c r="V12" s="127">
        <v>6.4047818918534332E-9</v>
      </c>
      <c r="W12" s="128">
        <v>6.4048632734700235E-9</v>
      </c>
      <c r="X12" s="128">
        <f t="shared" si="0"/>
        <v>6.4047803206596692E-9</v>
      </c>
      <c r="Y12" s="139">
        <f t="shared" si="1"/>
        <v>5.5021290733628166E-2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9.0385157527600006E-3</v>
      </c>
      <c r="J13" s="109">
        <v>7.0688279886620778E-9</v>
      </c>
      <c r="K13" s="109">
        <v>4.9629641631523164E-10</v>
      </c>
      <c r="L13" s="152">
        <v>6.6641644816300363E-9</v>
      </c>
      <c r="M13" s="27"/>
      <c r="N13" s="18">
        <v>8.3767390076370261E-7</v>
      </c>
      <c r="O13" s="18">
        <v>4.2306597651421388E-12</v>
      </c>
      <c r="P13" s="18">
        <v>2.1153298825710695E-9</v>
      </c>
      <c r="Q13" s="28">
        <v>0.65896092752247915</v>
      </c>
      <c r="R13" s="60">
        <v>110.00982807518024</v>
      </c>
      <c r="S13" s="57">
        <v>3.3351740714403901E-7</v>
      </c>
      <c r="U13" s="127">
        <v>6.6640622747772962E-9</v>
      </c>
      <c r="V13" s="127">
        <v>6.6641644816300363E-9</v>
      </c>
      <c r="W13" s="128">
        <v>6.664260059619727E-9</v>
      </c>
      <c r="X13" s="128">
        <f t="shared" si="0"/>
        <v>6.6641628244142738E-9</v>
      </c>
      <c r="Y13" s="139">
        <f t="shared" si="1"/>
        <v>0.66482808994786136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1.210589058721542</v>
      </c>
      <c r="I14" s="109">
        <v>9.1289009102799995E-3</v>
      </c>
      <c r="J14" s="109">
        <v>6.8148149141464328E-9</v>
      </c>
      <c r="K14" s="109">
        <v>4.7721457266472795E-10</v>
      </c>
      <c r="L14" s="152">
        <v>6.9339025064466071E-9</v>
      </c>
      <c r="M14" s="27"/>
      <c r="N14" s="18">
        <v>9.3922647010276821E-7</v>
      </c>
      <c r="O14" s="18">
        <v>4.7435495289964222E-12</v>
      </c>
      <c r="P14" s="18">
        <v>2.3717747644982111E-9</v>
      </c>
      <c r="Q14" s="28">
        <v>0.64789150001054818</v>
      </c>
      <c r="R14" s="60">
        <v>111.0140813681691</v>
      </c>
      <c r="S14" s="57">
        <v>3.3351740714403901E-7</v>
      </c>
      <c r="U14" s="127">
        <v>6.9337836343745019E-9</v>
      </c>
      <c r="V14" s="127">
        <v>6.9339025064466071E-9</v>
      </c>
      <c r="W14" s="128">
        <v>6.9340145842261562E-9</v>
      </c>
      <c r="X14" s="128">
        <f t="shared" si="0"/>
        <v>6.9339008078734683E-9</v>
      </c>
      <c r="Y14" s="139">
        <f t="shared" si="1"/>
        <v>6.2272061943695674E-2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641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9.2201899193900001E-3</v>
      </c>
      <c r="J15" s="109">
        <v>7.5247403917216372E-9</v>
      </c>
      <c r="K15" s="109">
        <v>4.9668090675954219E-10</v>
      </c>
      <c r="L15" s="152">
        <v>7.2143457574986879E-9</v>
      </c>
      <c r="M15" s="27"/>
      <c r="N15" s="18">
        <v>1.0407812527247352E-6</v>
      </c>
      <c r="O15" s="18">
        <v>5.2564504710035772E-12</v>
      </c>
      <c r="P15" s="18">
        <v>2.628225235501789E-9</v>
      </c>
      <c r="Q15" s="28">
        <v>0.64789150001054818</v>
      </c>
      <c r="R15" s="60">
        <v>111.0140813681691</v>
      </c>
      <c r="S15" s="57">
        <v>4.3288442337911342E-7</v>
      </c>
      <c r="U15" s="127">
        <v>7.2142084304815869E-9</v>
      </c>
      <c r="V15" s="127">
        <v>7.2143457574986879E-9</v>
      </c>
      <c r="W15" s="128">
        <v>7.2144764513781762E-9</v>
      </c>
      <c r="X15" s="128">
        <f t="shared" si="0"/>
        <v>7.2143440992142849E-9</v>
      </c>
      <c r="Y15" s="139">
        <f t="shared" si="1"/>
        <v>0.39055132886468796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1.5400000000000001E-6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0.24069629974121684</v>
      </c>
      <c r="I16" s="109">
        <v>9.3123918185800004E-3</v>
      </c>
      <c r="J16" s="109">
        <v>7.2876739972231993E-9</v>
      </c>
      <c r="K16" s="109">
        <v>4.8218426799196497E-10</v>
      </c>
      <c r="L16" s="152">
        <v>7.5058170456969419E-9</v>
      </c>
      <c r="M16" s="27"/>
      <c r="N16" s="18">
        <v>1.1423338220638006E-6</v>
      </c>
      <c r="O16" s="18">
        <v>5.7693402348578606E-12</v>
      </c>
      <c r="P16" s="18">
        <v>2.8846701174289306E-9</v>
      </c>
      <c r="Q16" s="28">
        <v>0.65896092752247915</v>
      </c>
      <c r="R16" s="60">
        <v>111.8812596621158</v>
      </c>
      <c r="S16" s="57">
        <v>4.3288442337911342E-7</v>
      </c>
      <c r="U16" s="127">
        <v>7.5056608225078795E-9</v>
      </c>
      <c r="V16" s="127">
        <v>7.5058170456969419E-9</v>
      </c>
      <c r="W16" s="128">
        <v>7.5059673601068582E-9</v>
      </c>
      <c r="X16" s="128">
        <f t="shared" si="0"/>
        <v>7.5058155685021554E-9</v>
      </c>
      <c r="Y16" s="139">
        <f t="shared" si="1"/>
        <v>0.20466840289019708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642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9.4055157367700006E-3</v>
      </c>
      <c r="J17" s="109">
        <v>7.3365504053906587E-9</v>
      </c>
      <c r="K17" s="109">
        <v>4.7820502522582942E-10</v>
      </c>
      <c r="L17" s="152">
        <v>7.8085764974086661E-9</v>
      </c>
      <c r="M17" s="27"/>
      <c r="N17" s="18">
        <v>1.2438665287473681E-6</v>
      </c>
      <c r="O17" s="18">
        <v>6.2821296826615082E-12</v>
      </c>
      <c r="P17" s="18">
        <v>3.1410648413307545E-9</v>
      </c>
      <c r="Q17" s="28">
        <v>0.68228915094370224</v>
      </c>
      <c r="R17" s="60">
        <v>111.8812596621158</v>
      </c>
      <c r="S17" s="57">
        <v>5.33496428652095E-7</v>
      </c>
      <c r="U17" s="127">
        <v>7.8084048877668668E-9</v>
      </c>
      <c r="V17" s="127">
        <v>7.8085764974086661E-9</v>
      </c>
      <c r="W17" s="128">
        <v>7.8087438428462468E-9</v>
      </c>
      <c r="X17" s="128">
        <f t="shared" si="0"/>
        <v>7.8085754313576106E-9</v>
      </c>
      <c r="Y17" s="139">
        <f t="shared" si="1"/>
        <v>0.97432036108541453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223.25</v>
      </c>
      <c r="D18" s="159">
        <v>44.06</v>
      </c>
      <c r="E18" s="159">
        <v>48.06</v>
      </c>
      <c r="F18" s="104"/>
      <c r="G18" s="104"/>
      <c r="H18" s="160">
        <v>0.24134105118899088</v>
      </c>
      <c r="I18" s="109">
        <v>9.4995708941299998E-3</v>
      </c>
      <c r="J18" s="109">
        <v>8.6679109556677332E-9</v>
      </c>
      <c r="K18" s="109">
        <v>5.1182734055504504E-10</v>
      </c>
      <c r="L18" s="152">
        <v>8.1227403018964895E-9</v>
      </c>
      <c r="N18" s="18">
        <v>1.3453131581801317E-6</v>
      </c>
      <c r="O18" s="18">
        <v>6.7944843985708755E-12</v>
      </c>
      <c r="P18" s="18">
        <v>3.397242199285438E-9</v>
      </c>
      <c r="Q18" s="28">
        <v>0.72059707809633522</v>
      </c>
      <c r="R18" s="60">
        <v>112.66028321448289</v>
      </c>
      <c r="S18" s="57">
        <v>5.33496428652095E-7</v>
      </c>
      <c r="U18" s="127">
        <v>8.1225680375632698E-9</v>
      </c>
      <c r="V18" s="127">
        <v>8.1227403018964895E-9</v>
      </c>
      <c r="W18" s="128">
        <v>8.1229112753495537E-9</v>
      </c>
      <c r="X18" s="128">
        <f t="shared" si="0"/>
        <v>8.1227399791764502E-9</v>
      </c>
      <c r="Y18" s="139">
        <f t="shared" si="1"/>
        <v>1.1345365507523688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9.5945666030799997E-3</v>
      </c>
      <c r="J19" s="109">
        <v>8.4796824026897566E-9</v>
      </c>
      <c r="K19" s="109">
        <v>3.7175929142428803E-10</v>
      </c>
      <c r="L19" s="152">
        <v>8.448042380970701E-9</v>
      </c>
      <c r="N19" s="18">
        <v>1.4465112941754084E-6</v>
      </c>
      <c r="O19" s="18">
        <v>7.3055841020142692E-12</v>
      </c>
      <c r="P19" s="18">
        <v>3.6527920510071346E-9</v>
      </c>
      <c r="Q19" s="28">
        <v>0.77902355236708853</v>
      </c>
      <c r="R19" s="60">
        <v>112.66028321448289</v>
      </c>
      <c r="S19" s="57">
        <v>6.3469456464737152E-7</v>
      </c>
      <c r="U19" s="127">
        <v>8.4479221908292278E-9</v>
      </c>
      <c r="V19" s="127">
        <v>8.448042380970701E-9</v>
      </c>
      <c r="W19" s="128">
        <v>8.4481645010958324E-9</v>
      </c>
      <c r="X19" s="128">
        <f t="shared" si="0"/>
        <v>8.4480428634666164E-9</v>
      </c>
      <c r="Y19" s="139">
        <f t="shared" si="1"/>
        <v>7.2433027317731578E-3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0.15127149982593599</v>
      </c>
      <c r="I20" s="109">
        <v>9.69051226911E-3</v>
      </c>
      <c r="J20" s="109">
        <v>8.5997349625337781E-9</v>
      </c>
      <c r="K20" s="109">
        <v>3.6700125472698819E-10</v>
      </c>
      <c r="L20" s="152">
        <v>8.7802136629348078E-9</v>
      </c>
      <c r="N20" s="18">
        <v>1.5471232994483899E-6</v>
      </c>
      <c r="O20" s="18">
        <v>7.8137235608306465E-12</v>
      </c>
      <c r="P20" s="18">
        <v>3.9068617804153232E-9</v>
      </c>
      <c r="Q20" s="28">
        <v>0.86717829394668777</v>
      </c>
      <c r="R20" s="60">
        <v>113.38088029257922</v>
      </c>
      <c r="S20" s="57">
        <v>6.3469456464737152E-7</v>
      </c>
      <c r="U20" s="127">
        <v>8.7803972077664723E-9</v>
      </c>
      <c r="V20" s="127">
        <v>8.7802136629348078E-9</v>
      </c>
      <c r="W20" s="128">
        <v>8.7800400013229606E-9</v>
      </c>
      <c r="X20" s="128">
        <f t="shared" si="0"/>
        <v>8.7802161337397617E-9</v>
      </c>
      <c r="Y20" s="139">
        <f t="shared" si="1"/>
        <v>0.24184031681815699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9.7874173918000001E-3</v>
      </c>
      <c r="J21" s="109">
        <v>8.4045361234070268E-9</v>
      </c>
      <c r="K21" s="109">
        <v>3.5547638248180984E-10</v>
      </c>
      <c r="L21" s="152">
        <v>9.0888685968074971E-9</v>
      </c>
      <c r="M21" s="31"/>
      <c r="N21" s="18">
        <v>1.6464903156834643E-6</v>
      </c>
      <c r="O21" s="18">
        <v>8.3155752207482941E-12</v>
      </c>
      <c r="P21" s="30">
        <v>4.1577876103741469E-9</v>
      </c>
      <c r="Q21" s="65">
        <v>1.0042532929888688</v>
      </c>
      <c r="R21" s="62">
        <v>113.38088029257922</v>
      </c>
      <c r="S21" s="61">
        <v>7.3614119408013532E-7</v>
      </c>
      <c r="T21" s="75"/>
      <c r="U21" s="127">
        <v>9.0905325467189559E-9</v>
      </c>
      <c r="V21" s="127">
        <v>9.0888685968074971E-9</v>
      </c>
      <c r="W21" s="128">
        <v>9.0873109076138356E-9</v>
      </c>
      <c r="X21" s="128">
        <f t="shared" si="0"/>
        <v>9.0888951619869472E-9</v>
      </c>
      <c r="Y21" s="139">
        <f t="shared" si="1"/>
        <v>3.7063507064212597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9.8852915657199995E-3</v>
      </c>
      <c r="J22" s="109">
        <v>8.659925177755016E-9</v>
      </c>
      <c r="K22" s="109">
        <v>3.575882621893603E-10</v>
      </c>
      <c r="L22" s="152">
        <v>9.2205456815292119E-9</v>
      </c>
      <c r="N22" s="18">
        <v>1.7433367691578579E-6</v>
      </c>
      <c r="O22" s="18">
        <v>8.8046968153655827E-12</v>
      </c>
      <c r="P22" s="18">
        <v>4.402348407682792E-9</v>
      </c>
      <c r="Q22" s="28">
        <v>1.2340503649357659</v>
      </c>
      <c r="R22" s="60">
        <v>114.06316944352292</v>
      </c>
      <c r="S22" s="57">
        <v>7.3614119408013532E-7</v>
      </c>
      <c r="U22" s="127">
        <v>9.228108264191892E-9</v>
      </c>
      <c r="V22" s="127">
        <v>9.2205456815292119E-9</v>
      </c>
      <c r="W22" s="128">
        <v>9.2138920385363919E-9</v>
      </c>
      <c r="X22" s="128">
        <f t="shared" si="0"/>
        <v>9.2207729164466773E-9</v>
      </c>
      <c r="Y22" s="139">
        <f t="shared" si="1"/>
        <v>2.4599338971205063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9.9841444813699998E-3</v>
      </c>
      <c r="J23" s="109">
        <v>7.8217639264629153E-9</v>
      </c>
      <c r="K23" s="109">
        <v>3.2741716122943752E-10</v>
      </c>
      <c r="L23" s="152">
        <v>8.764414863550402E-9</v>
      </c>
      <c r="N23" s="18">
        <v>1.8351038952150429E-6</v>
      </c>
      <c r="O23" s="18">
        <v>9.2681653412667804E-12</v>
      </c>
      <c r="P23" s="18">
        <v>4.6340826706333911E-9</v>
      </c>
      <c r="Q23" s="28">
        <v>1.6843221405034949</v>
      </c>
      <c r="R23" s="60">
        <v>114.06316944352292</v>
      </c>
      <c r="S23" s="57">
        <v>8.3767390076370261E-7</v>
      </c>
      <c r="U23" s="127">
        <v>8.7870717655883411E-9</v>
      </c>
      <c r="V23" s="127">
        <v>8.764414863550402E-9</v>
      </c>
      <c r="W23" s="128">
        <v>8.7460585961921219E-9</v>
      </c>
      <c r="X23" s="128">
        <f t="shared" si="0"/>
        <v>8.7654900222203163E-9</v>
      </c>
      <c r="Y23" s="139">
        <f t="shared" si="1"/>
        <v>8.3078577344899873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1.0083985926200001E-2</v>
      </c>
      <c r="J24" s="109">
        <v>6.8989451736337158E-9</v>
      </c>
      <c r="K24" s="109">
        <v>4.4164761035217605E-10</v>
      </c>
      <c r="L24" s="152">
        <v>7.3154016089512377E-9</v>
      </c>
      <c r="N24" s="18">
        <v>1.9162023338210742E-6</v>
      </c>
      <c r="O24" s="18">
        <v>9.6777518174761795E-12</v>
      </c>
      <c r="P24" s="18">
        <v>4.8388759087380908E-9</v>
      </c>
      <c r="Q24" s="28">
        <v>3.0267492483847049</v>
      </c>
      <c r="R24" s="60">
        <v>114.72213037104541</v>
      </c>
      <c r="S24" s="57">
        <v>8.3767390076370261E-7</v>
      </c>
      <c r="U24" s="127">
        <v>7.3566220378160684E-9</v>
      </c>
      <c r="V24" s="127">
        <v>7.3154016089512377E-9</v>
      </c>
      <c r="W24" s="128">
        <v>7.2861825723748982E-9</v>
      </c>
      <c r="X24" s="128">
        <f t="shared" si="0"/>
        <v>7.3184019570233603E-9</v>
      </c>
      <c r="Y24" s="139">
        <f t="shared" si="1"/>
        <v>0.90203351583586011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1.5802074511632338E-6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5</v>
      </c>
      <c r="H25" s="149">
        <v>200</v>
      </c>
      <c r="I25" s="109">
        <v>1.01848257854E-2</v>
      </c>
      <c r="J25" s="109">
        <v>5.6465022407856681E-9</v>
      </c>
      <c r="K25" s="109">
        <v>3.9739706327802348E-10</v>
      </c>
      <c r="L25" s="152">
        <v>5.249617598065167E-9</v>
      </c>
      <c r="N25" s="18">
        <v>1.9722618021335981E-6</v>
      </c>
      <c r="O25" s="18">
        <v>9.960879341001539E-12</v>
      </c>
      <c r="P25" s="18">
        <v>4.98043967050077E-9</v>
      </c>
      <c r="Q25" s="28">
        <v>4.0647063213562644</v>
      </c>
      <c r="R25" s="60">
        <v>114.72213037104541</v>
      </c>
      <c r="S25" s="57">
        <v>9.3922647010276821E-7</v>
      </c>
      <c r="U25" s="127">
        <v>5.2862283074846463E-9</v>
      </c>
      <c r="V25" s="127">
        <v>5.249617598065167E-9</v>
      </c>
      <c r="W25" s="128">
        <v>5.2341696338777447E-9</v>
      </c>
      <c r="X25" s="128">
        <f t="shared" si="0"/>
        <v>5.2549082843731813E-9</v>
      </c>
      <c r="Y25" s="139">
        <f t="shared" si="1"/>
        <v>0.97100765649732934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1.5802074511632338E-6</v>
      </c>
      <c r="D26" s="101">
        <v>1.5392483148537927E-10</v>
      </c>
      <c r="E26" s="101">
        <v>5.0509225500401457E-8</v>
      </c>
      <c r="F26" s="149">
        <f>(H31-H25)*H29</f>
        <v>878.64317025755554</v>
      </c>
      <c r="G26" s="149">
        <v>55.42680874121109</v>
      </c>
      <c r="H26" s="111" t="s">
        <v>599</v>
      </c>
      <c r="I26" s="109">
        <v>1.02866740433E-2</v>
      </c>
      <c r="J26" s="109">
        <v>3.9100930588992233E-9</v>
      </c>
      <c r="K26" s="109">
        <v>3.3716034669969314E-10</v>
      </c>
      <c r="L26" s="152">
        <v>3.6324279554641729E-9</v>
      </c>
      <c r="N26" s="18">
        <v>1.9800077228275033E-6</v>
      </c>
      <c r="O26" s="18">
        <v>9.9999999999999994E-12</v>
      </c>
      <c r="P26" s="18">
        <v>5.0000000000000001E-9</v>
      </c>
      <c r="Q26" s="28">
        <v>628.65380526065428</v>
      </c>
      <c r="R26" s="60">
        <v>115.37002187105595</v>
      </c>
      <c r="S26" s="57">
        <v>9.3922647010276821E-7</v>
      </c>
      <c r="U26" s="127">
        <v>3.6226270097933013E-9</v>
      </c>
      <c r="V26" s="127">
        <v>3.6324279554641729E-9</v>
      </c>
      <c r="W26" s="128">
        <v>3.6674386183554371E-9</v>
      </c>
      <c r="X26" s="128">
        <f t="shared" si="0"/>
        <v>3.6387303847692711E-9</v>
      </c>
      <c r="Y26" s="139">
        <f t="shared" si="1"/>
        <v>0.64777955549771682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9.6774070930268282E-7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0.03</v>
      </c>
      <c r="I27" s="109">
        <v>1.03895407837E-2</v>
      </c>
      <c r="J27" s="109">
        <v>3.2784843009816534E-9</v>
      </c>
      <c r="K27" s="109">
        <v>3.0582368456589501E-10</v>
      </c>
      <c r="L27" s="152">
        <v>2.9810702608098779E-9</v>
      </c>
      <c r="N27" s="18">
        <v>1.9793725700037306E-6</v>
      </c>
      <c r="O27" s="18">
        <v>1.056304342539504E-11</v>
      </c>
      <c r="P27" s="18">
        <v>5.1780350892085253E-9</v>
      </c>
      <c r="Q27" s="28">
        <v>73.157211495323878</v>
      </c>
      <c r="R27" s="60">
        <v>115.37002187105595</v>
      </c>
      <c r="S27" s="57">
        <v>1.0407812527247352E-6</v>
      </c>
      <c r="U27" s="127">
        <v>2.9054899783932492E-9</v>
      </c>
      <c r="V27" s="127">
        <v>2.9810702608098779E-9</v>
      </c>
      <c r="W27" s="128">
        <v>3.0783457395730237E-9</v>
      </c>
      <c r="X27" s="128">
        <f t="shared" si="0"/>
        <v>2.9864940598965073E-9</v>
      </c>
      <c r="Y27" s="139">
        <f t="shared" si="1"/>
        <v>0.9115792702953085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22.028473791051074</v>
      </c>
      <c r="G28" s="102">
        <v>5</v>
      </c>
      <c r="H28" s="134" t="s">
        <v>600</v>
      </c>
      <c r="I28" s="109">
        <v>1.04934361916E-2</v>
      </c>
      <c r="J28" s="109">
        <v>3.0935655871030258E-9</v>
      </c>
      <c r="K28" s="109">
        <v>2.8575141123944634E-10</v>
      </c>
      <c r="L28" s="152">
        <v>2.950480167350677E-9</v>
      </c>
      <c r="N28" s="18">
        <v>1.9747757853211943E-6</v>
      </c>
      <c r="O28" s="18">
        <v>1.4637951536621044E-11</v>
      </c>
      <c r="P28" s="18">
        <v>6.4665265205571022E-9</v>
      </c>
      <c r="Q28" s="28">
        <v>54.475899954688167</v>
      </c>
      <c r="R28" s="60">
        <v>116.0179133710665</v>
      </c>
      <c r="S28" s="57">
        <v>1.0407812527247352E-6</v>
      </c>
      <c r="U28" s="127">
        <v>2.825200369096636E-9</v>
      </c>
      <c r="V28" s="127">
        <v>2.950480167350677E-9</v>
      </c>
      <c r="W28" s="128">
        <v>3.0897992717631484E-9</v>
      </c>
      <c r="X28" s="128">
        <f t="shared" si="0"/>
        <v>2.9539899938902844E-9</v>
      </c>
      <c r="Y28" s="139">
        <f t="shared" si="1"/>
        <v>0.23858448415523445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2.0532802858060381E-6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1.05983705535E-2</v>
      </c>
      <c r="J29" s="109">
        <v>3.6219929419547577E-9</v>
      </c>
      <c r="K29" s="109">
        <v>3.0611809158723107E-10</v>
      </c>
      <c r="L29" s="152">
        <v>3.0872903726234577E-9</v>
      </c>
      <c r="N29" s="18">
        <v>1.9681258460409365E-6</v>
      </c>
      <c r="O29" s="18">
        <v>2.0532917993333852E-11</v>
      </c>
      <c r="P29" s="18">
        <v>8.3305228513299389E-9</v>
      </c>
      <c r="Q29" s="28">
        <v>30.31468975056384</v>
      </c>
      <c r="R29" s="60">
        <v>116.0179133710665</v>
      </c>
      <c r="S29" s="57">
        <v>1.1423338220638006E-6</v>
      </c>
      <c r="U29" s="127">
        <v>2.9397070699155452E-9</v>
      </c>
      <c r="V29" s="127">
        <v>3.0872903726234577E-9</v>
      </c>
      <c r="W29" s="128">
        <v>3.2409188405673986E-9</v>
      </c>
      <c r="X29" s="128">
        <f t="shared" si="0"/>
        <v>3.0888016639324649E-9</v>
      </c>
      <c r="Y29" s="139">
        <f t="shared" si="1"/>
        <v>3.0338079064654111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1.0704354259E-2</v>
      </c>
      <c r="J30" s="109">
        <v>3.56349482702395E-9</v>
      </c>
      <c r="K30" s="109">
        <v>3.0037592849326897E-10</v>
      </c>
      <c r="L30" s="152">
        <v>3.2020284154305682E-9</v>
      </c>
      <c r="N30" s="18">
        <v>1.9606010918447605E-6</v>
      </c>
      <c r="O30" s="18">
        <v>2.7203380942244557E-11</v>
      </c>
      <c r="P30" s="18">
        <v>1.0439732217087566E-8</v>
      </c>
      <c r="Q30" s="28">
        <v>22.2106288636774</v>
      </c>
      <c r="R30" s="60">
        <v>116.67687429858898</v>
      </c>
      <c r="S30" s="57">
        <v>1.1423338220638006E-6</v>
      </c>
      <c r="U30" s="127">
        <v>3.0527358197724111E-9</v>
      </c>
      <c r="V30" s="127">
        <v>3.2020284154305682E-9</v>
      </c>
      <c r="W30" s="128">
        <v>3.3504467137103254E-9</v>
      </c>
      <c r="X30" s="128">
        <f t="shared" si="0"/>
        <v>3.2018098410859685E-9</v>
      </c>
      <c r="Y30" s="139">
        <f t="shared" si="1"/>
        <v>1.4498754938601808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1078.6431702575555</v>
      </c>
      <c r="I31" s="109">
        <v>1.08113978016E-2</v>
      </c>
      <c r="J31" s="109">
        <v>3.9594981255462904E-9</v>
      </c>
      <c r="K31" s="109">
        <v>3.1798872395789782E-10</v>
      </c>
      <c r="L31" s="152">
        <v>3.2613171205837596E-9</v>
      </c>
      <c r="N31" s="18">
        <v>1.9526598411106783E-6</v>
      </c>
      <c r="O31" s="18">
        <v>3.4243055250359895E-11</v>
      </c>
      <c r="P31" s="18">
        <v>1.2665686711742984E-8</v>
      </c>
      <c r="Q31" s="28">
        <v>18.074705708516731</v>
      </c>
      <c r="R31" s="60">
        <v>116.67687429858898</v>
      </c>
      <c r="S31" s="57">
        <v>1.2438665287473681E-6</v>
      </c>
      <c r="U31" s="127">
        <v>3.1228338762054016E-9</v>
      </c>
      <c r="V31" s="127">
        <v>3.2613171205837596E-9</v>
      </c>
      <c r="W31" s="128">
        <v>3.3930880884170769E-9</v>
      </c>
      <c r="X31" s="128">
        <f t="shared" si="0"/>
        <v>3.2596390514474993E-9</v>
      </c>
      <c r="Y31" s="139">
        <f t="shared" si="1"/>
        <v>4.843928854894842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1.0919511779600001E-2</v>
      </c>
      <c r="J32" s="109">
        <v>3.605232004701445E-9</v>
      </c>
      <c r="K32" s="109">
        <v>3.007386796606307E-10</v>
      </c>
      <c r="L32" s="152">
        <v>3.2674432717064119E-9</v>
      </c>
      <c r="N32" s="18">
        <v>1.9445119083541222E-6</v>
      </c>
      <c r="O32" s="18">
        <v>4.1465946808790422E-11</v>
      </c>
      <c r="P32" s="18">
        <v>1.4949574747637285E-8</v>
      </c>
      <c r="Q32" s="28">
        <v>15.6076087271279</v>
      </c>
      <c r="R32" s="60">
        <v>117.35916344953269</v>
      </c>
      <c r="S32" s="57">
        <v>1.2438665287473681E-6</v>
      </c>
      <c r="U32" s="127">
        <v>3.1477416505526313E-9</v>
      </c>
      <c r="V32" s="127">
        <v>3.2674432717064119E-9</v>
      </c>
      <c r="W32" s="128">
        <v>3.3754218932698543E-9</v>
      </c>
      <c r="X32" s="128">
        <f t="shared" si="0"/>
        <v>3.2645125218088273E-9</v>
      </c>
      <c r="Y32" s="139">
        <f t="shared" si="1"/>
        <v>1.2835575880258783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1.1028706897400001E-2</v>
      </c>
      <c r="J33" s="109">
        <v>3.8311978131702306E-9</v>
      </c>
      <c r="K33" s="109">
        <v>3.1557800676814898E-10</v>
      </c>
      <c r="L33" s="152">
        <v>3.2279239454161995E-9</v>
      </c>
      <c r="N33" s="18">
        <v>1.9362618885333883E-6</v>
      </c>
      <c r="O33" s="18">
        <v>4.8779335406912324E-11</v>
      </c>
      <c r="P33" s="18">
        <v>1.7262078069329932E-8</v>
      </c>
      <c r="Q33" s="28">
        <v>14.020986087216615</v>
      </c>
      <c r="R33" s="60">
        <v>117.35916344953269</v>
      </c>
      <c r="S33" s="57">
        <v>1.3453131581801317E-6</v>
      </c>
      <c r="U33" s="127">
        <v>3.132391144188943E-9</v>
      </c>
      <c r="V33" s="127">
        <v>3.2279239454161995E-9</v>
      </c>
      <c r="W33" s="128">
        <v>3.3074156117881542E-9</v>
      </c>
      <c r="X33" s="128">
        <f t="shared" si="0"/>
        <v>3.2239136617023737E-9</v>
      </c>
      <c r="Y33" s="139">
        <f t="shared" si="1"/>
        <v>3.7031426081640149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1.11389939664E-2</v>
      </c>
      <c r="J34" s="109">
        <v>3.6190238197929185E-9</v>
      </c>
      <c r="K34" s="109">
        <v>2.9221697260977659E-10</v>
      </c>
      <c r="L34" s="152">
        <v>3.1487486296121261E-9</v>
      </c>
      <c r="N34" s="18">
        <v>1.9279638069523969E-6</v>
      </c>
      <c r="O34" s="18">
        <v>5.613532927594409E-11</v>
      </c>
      <c r="P34" s="18">
        <v>1.9588053235049304E-8</v>
      </c>
      <c r="Q34" s="28">
        <v>12.969417388958139</v>
      </c>
      <c r="R34" s="60">
        <v>118.07976052762902</v>
      </c>
      <c r="S34" s="57">
        <v>1.3453131581801317E-6</v>
      </c>
      <c r="U34" s="127">
        <v>3.0811280491645417E-9</v>
      </c>
      <c r="V34" s="127">
        <v>3.1487486296121261E-9</v>
      </c>
      <c r="W34" s="128">
        <v>3.1967021128782246E-9</v>
      </c>
      <c r="X34" s="128">
        <f t="shared" si="0"/>
        <v>3.1438318553167547E-9</v>
      </c>
      <c r="Y34" s="139">
        <f t="shared" si="1"/>
        <v>2.644400934390684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1.210589058721542</v>
      </c>
      <c r="I35" s="109">
        <v>1.12503839061E-2</v>
      </c>
      <c r="J35" s="109">
        <v>3.7523409120783116E-9</v>
      </c>
      <c r="K35" s="109">
        <v>2.9529385878707203E-10</v>
      </c>
      <c r="L35" s="152">
        <v>3.0352110222685771E-9</v>
      </c>
      <c r="N35" s="18">
        <v>1.9196453493160927E-6</v>
      </c>
      <c r="O35" s="18">
        <v>6.3509385890743584E-11</v>
      </c>
      <c r="P35" s="18">
        <v>2.1919739865300652E-8</v>
      </c>
      <c r="Q35" s="28">
        <v>12.279945405723316</v>
      </c>
      <c r="R35" s="60">
        <v>118.07976052762902</v>
      </c>
      <c r="S35" s="57">
        <v>1.4465112941754084E-6</v>
      </c>
      <c r="U35" s="127">
        <v>2.997908236019348E-9</v>
      </c>
      <c r="V35" s="127">
        <v>3.0352110222685771E-9</v>
      </c>
      <c r="W35" s="128">
        <v>3.0500154911913838E-9</v>
      </c>
      <c r="X35" s="128">
        <f t="shared" si="0"/>
        <v>3.0295864429369717E-9</v>
      </c>
      <c r="Y35" s="139">
        <f t="shared" si="1"/>
        <v>5.9906333720581113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641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1.1362887745099999E-2</v>
      </c>
      <c r="J36" s="109">
        <v>3.1519261502669195E-9</v>
      </c>
      <c r="K36" s="109">
        <v>2.7394446189578387E-10</v>
      </c>
      <c r="L36" s="152">
        <v>2.8924202276805295E-9</v>
      </c>
      <c r="N36" s="18">
        <v>1.9113198334860534E-6</v>
      </c>
      <c r="O36" s="18">
        <v>7.088969937700566E-11</v>
      </c>
      <c r="P36" s="18">
        <v>2.4253404926732906E-8</v>
      </c>
      <c r="Q36" s="28">
        <v>11.860080441391247</v>
      </c>
      <c r="R36" s="60">
        <v>118.85878407999611</v>
      </c>
      <c r="S36" s="57">
        <v>1.4465112941754084E-6</v>
      </c>
      <c r="U36" s="127">
        <v>2.8865794815501918E-9</v>
      </c>
      <c r="V36" s="127">
        <v>2.8924202276805295E-9</v>
      </c>
      <c r="W36" s="128">
        <v>2.8738942652976905E-9</v>
      </c>
      <c r="X36" s="128">
        <f t="shared" si="0"/>
        <v>2.8863285505522356E-9</v>
      </c>
      <c r="Y36" s="139">
        <f t="shared" si="1"/>
        <v>0.93999001757219258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1.5400000000000001E-6</v>
      </c>
      <c r="D37" s="157">
        <v>5.6499999999999999E-7</v>
      </c>
      <c r="E37" s="157">
        <v>5.7300000000000002E-6</v>
      </c>
      <c r="F37" s="102"/>
      <c r="G37" s="102"/>
      <c r="H37" s="160">
        <v>0.24069629974121684</v>
      </c>
      <c r="I37" s="109">
        <v>1.14765166226E-2</v>
      </c>
      <c r="J37" s="109">
        <v>2.9100121929540617E-9</v>
      </c>
      <c r="K37" s="109">
        <v>2.5732935749316347E-10</v>
      </c>
      <c r="L37" s="152">
        <v>2.7256066333490464E-9</v>
      </c>
      <c r="N37" s="18">
        <v>1.902992688950761E-6</v>
      </c>
      <c r="O37" s="18">
        <v>7.8271456660336026E-11</v>
      </c>
      <c r="P37" s="18">
        <v>2.6587526518742132E-8</v>
      </c>
      <c r="Q37" s="28">
        <v>11.660851177183964</v>
      </c>
      <c r="R37" s="60">
        <v>118.85878407999611</v>
      </c>
      <c r="S37" s="57">
        <v>1.5471232994483899E-6</v>
      </c>
      <c r="U37" s="127">
        <v>2.7510992843935134E-9</v>
      </c>
      <c r="V37" s="127">
        <v>2.7256066333490464E-9</v>
      </c>
      <c r="W37" s="128">
        <v>2.6750395053358561E-9</v>
      </c>
      <c r="X37" s="128">
        <f t="shared" si="0"/>
        <v>2.7193380141068656E-9</v>
      </c>
      <c r="Y37" s="139">
        <f t="shared" si="1"/>
        <v>0.54904140619585173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642</v>
      </c>
      <c r="D38" s="158" t="s">
        <v>612</v>
      </c>
      <c r="E38" s="158" t="s">
        <v>614</v>
      </c>
      <c r="F38" s="104"/>
      <c r="G38" s="104"/>
      <c r="H38" s="144"/>
      <c r="I38" s="109">
        <v>1.1591281788799999E-2</v>
      </c>
      <c r="J38" s="109">
        <v>2.8456676270891524E-9</v>
      </c>
      <c r="K38" s="109">
        <v>2.4986092270908859E-10</v>
      </c>
      <c r="L38" s="152">
        <v>2.540271166820204E-9</v>
      </c>
      <c r="N38" s="18">
        <v>1.8970961044201983E-6</v>
      </c>
      <c r="O38" s="18">
        <v>8.3498597323113724E-11</v>
      </c>
      <c r="P38" s="18">
        <v>2.8240355434291938E-8</v>
      </c>
      <c r="Q38" s="28">
        <v>4.8302878525401702</v>
      </c>
      <c r="R38" s="60">
        <v>119.72596237394281</v>
      </c>
      <c r="S38" s="57">
        <v>1.5471232994483899E-6</v>
      </c>
      <c r="U38" s="127">
        <v>2.5956671233934311E-9</v>
      </c>
      <c r="V38" s="127">
        <v>2.540271166820204E-9</v>
      </c>
      <c r="W38" s="128">
        <v>2.4604442726371685E-9</v>
      </c>
      <c r="X38" s="128">
        <f t="shared" si="0"/>
        <v>2.5341634324177522E-9</v>
      </c>
      <c r="Y38" s="139">
        <f t="shared" si="1"/>
        <v>1.5542866595688849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223.25</v>
      </c>
      <c r="D39" s="159">
        <v>44.06</v>
      </c>
      <c r="E39" s="159">
        <v>48.06</v>
      </c>
      <c r="F39" s="104"/>
      <c r="G39" s="104"/>
      <c r="H39" s="108"/>
      <c r="I39" s="109">
        <v>1.17071946067E-2</v>
      </c>
      <c r="J39" s="109">
        <v>2.2437887157331247E-9</v>
      </c>
      <c r="K39" s="109">
        <v>2.2790378353129462E-10</v>
      </c>
      <c r="L39" s="152">
        <v>2.3422145488414195E-9</v>
      </c>
      <c r="N39" s="18">
        <v>1.8919097494521571E-6</v>
      </c>
      <c r="O39" s="18">
        <v>8.8096141342797217E-11</v>
      </c>
      <c r="P39" s="18">
        <v>2.9694105043587486E-8</v>
      </c>
      <c r="Q39" s="28">
        <v>9.6605757050803405</v>
      </c>
      <c r="R39" s="60">
        <v>119.72596237394281</v>
      </c>
      <c r="S39" s="57">
        <v>1.6464903156834643E-6</v>
      </c>
      <c r="U39" s="127">
        <v>2.4247795428642568E-9</v>
      </c>
      <c r="V39" s="127">
        <v>2.3422145488414195E-9</v>
      </c>
      <c r="W39" s="128">
        <v>2.2373595968219304E-9</v>
      </c>
      <c r="X39" s="128">
        <f t="shared" si="0"/>
        <v>2.3366420593422566E-9</v>
      </c>
      <c r="Y39" s="139">
        <f t="shared" si="1"/>
        <v>0.1659938599398092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1.18242665528E-2</v>
      </c>
      <c r="J40" s="109">
        <v>2.1477073640472831E-9</v>
      </c>
      <c r="K40" s="109">
        <v>1.4069758607166019E-10</v>
      </c>
      <c r="L40" s="152">
        <v>2.1374719330343555E-9</v>
      </c>
      <c r="N40" s="18">
        <v>1.8850692321245212E-6</v>
      </c>
      <c r="O40" s="18">
        <v>9.4160049371655465E-11</v>
      </c>
      <c r="P40" s="18">
        <v>3.161152092694073E-8</v>
      </c>
      <c r="Q40" s="28">
        <v>9.6605757050803405</v>
      </c>
      <c r="R40" s="60">
        <v>120.73021566693167</v>
      </c>
      <c r="S40" s="57">
        <v>1.6464903156834643E-6</v>
      </c>
      <c r="U40" s="127">
        <v>2.2432183104822452E-9</v>
      </c>
      <c r="V40" s="127">
        <v>2.1374719330343555E-9</v>
      </c>
      <c r="W40" s="128">
        <v>2.0131404628582712E-9</v>
      </c>
      <c r="X40" s="128">
        <f t="shared" si="0"/>
        <v>2.132825659852307E-9</v>
      </c>
      <c r="Y40" s="139">
        <f t="shared" si="1"/>
        <v>1.1187474097815465E-2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1.19425092183E-2</v>
      </c>
      <c r="J41" s="109">
        <v>2.0663518304312259E-9</v>
      </c>
      <c r="K41" s="109">
        <v>1.3482498732920971E-10</v>
      </c>
      <c r="L41" s="152">
        <v>1.9321741223865477E-9</v>
      </c>
      <c r="N41" s="18">
        <v>1.8783835013325221E-6</v>
      </c>
      <c r="O41" s="18">
        <v>1.0008674390170206E-10</v>
      </c>
      <c r="P41" s="18">
        <v>3.3485549717221341E-8</v>
      </c>
      <c r="Q41" s="28">
        <v>9.6605757050803405</v>
      </c>
      <c r="R41" s="60">
        <v>120.73021566693167</v>
      </c>
      <c r="S41" s="57">
        <v>1.7433367691578579E-6</v>
      </c>
      <c r="U41" s="127">
        <v>2.0559814791767499E-9</v>
      </c>
      <c r="V41" s="127">
        <v>1.9321741223865477E-9</v>
      </c>
      <c r="W41" s="128">
        <v>1.7950087873044922E-9</v>
      </c>
      <c r="X41" s="128">
        <f t="shared" si="0"/>
        <v>1.9288346278135842E-9</v>
      </c>
      <c r="Y41" s="139">
        <f t="shared" si="1"/>
        <v>1.040335174045609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1.2061934310500001E-2</v>
      </c>
      <c r="J42" s="109">
        <v>1.7313922925296606E-9</v>
      </c>
      <c r="K42" s="109">
        <v>1.2124005730084229E-10</v>
      </c>
      <c r="L42" s="152">
        <v>1.7323565436827407E-9</v>
      </c>
      <c r="N42" s="18">
        <v>1.8719234095394926E-6</v>
      </c>
      <c r="O42" s="18">
        <v>1.058134164053519E-10</v>
      </c>
      <c r="P42" s="18">
        <v>3.5296331273439629E-8</v>
      </c>
      <c r="Q42" s="28">
        <v>9.6605757050803405</v>
      </c>
      <c r="R42" s="60">
        <v>121.96426603186744</v>
      </c>
      <c r="S42" s="57">
        <v>1.7433367691578579E-6</v>
      </c>
      <c r="U42" s="127">
        <v>1.868167903847267E-9</v>
      </c>
      <c r="V42" s="127">
        <v>1.7323565436827407E-9</v>
      </c>
      <c r="W42" s="128">
        <v>1.5897698487717707E-9</v>
      </c>
      <c r="X42" s="128">
        <f t="shared" si="0"/>
        <v>1.7306627099961298E-9</v>
      </c>
      <c r="Y42" s="139">
        <f t="shared" si="1"/>
        <v>3.6212340109510811E-5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1.2182553653599999E-2</v>
      </c>
      <c r="J43" s="109">
        <v>1.5740816094616478E-9</v>
      </c>
      <c r="K43" s="109">
        <v>1.1402164245661491E-10</v>
      </c>
      <c r="L43" s="152">
        <v>1.5437385819558826E-9</v>
      </c>
      <c r="N43" s="18">
        <v>1.8657523779439692E-6</v>
      </c>
      <c r="O43" s="18">
        <v>1.1128384594249414E-10</v>
      </c>
      <c r="P43" s="18">
        <v>3.7026088458634968E-8</v>
      </c>
      <c r="Q43" s="28">
        <v>9.6605757050803405</v>
      </c>
      <c r="R43" s="60">
        <v>121.96426603186744</v>
      </c>
      <c r="S43" s="57">
        <v>1.8351038952150429E-6</v>
      </c>
      <c r="U43" s="127">
        <v>1.6848273937708879E-9</v>
      </c>
      <c r="V43" s="127">
        <v>1.5437385819558826E-9</v>
      </c>
      <c r="W43" s="128">
        <v>1.4035187559977759E-9</v>
      </c>
      <c r="X43" s="128">
        <f t="shared" si="0"/>
        <v>1.5439558284201073E-9</v>
      </c>
      <c r="Y43" s="139">
        <f t="shared" si="1"/>
        <v>6.9807493611624166E-2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1.2304379190100001E-2</v>
      </c>
      <c r="J44" s="109">
        <v>1.3042924866327224E-9</v>
      </c>
      <c r="K44" s="109">
        <v>1.0741453872458012E-10</v>
      </c>
      <c r="L44" s="152">
        <v>1.3714967504217609E-9</v>
      </c>
      <c r="N44" s="18">
        <v>1.8599245582292875E-6</v>
      </c>
      <c r="O44" s="18">
        <v>1.1645002871288567E-10</v>
      </c>
      <c r="P44" s="18">
        <v>3.8659642406536727E-8</v>
      </c>
      <c r="Q44" s="28">
        <v>9.6605757050803405</v>
      </c>
      <c r="R44" s="60">
        <v>123.64858817237094</v>
      </c>
      <c r="S44" s="57">
        <v>1.8351038952150429E-6</v>
      </c>
      <c r="U44" s="127">
        <v>1.5107904155627202E-9</v>
      </c>
      <c r="V44" s="127">
        <v>1.3714967504217609E-9</v>
      </c>
      <c r="W44" s="128">
        <v>1.2413713655407509E-9</v>
      </c>
      <c r="X44" s="128">
        <f t="shared" si="0"/>
        <v>1.3737888204867482E-9</v>
      </c>
      <c r="Y44" s="139">
        <f t="shared" si="1"/>
        <v>0.41859848682618539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1.2427422981999999E-2</v>
      </c>
      <c r="J45" s="109">
        <v>1.010949209573968E-9</v>
      </c>
      <c r="K45" s="109">
        <v>1.1969877602378819E-10</v>
      </c>
      <c r="L45" s="152">
        <v>1.2200542997375495E-9</v>
      </c>
      <c r="N45" s="18">
        <v>1.8544834934614948E-6</v>
      </c>
      <c r="O45" s="18">
        <v>1.2127336512892823E-10</v>
      </c>
      <c r="P45" s="18">
        <v>4.0184787875574696E-8</v>
      </c>
      <c r="Q45" s="28">
        <v>9.6605757050803405</v>
      </c>
      <c r="R45" s="60">
        <v>123.64858817237094</v>
      </c>
      <c r="S45" s="57">
        <v>1.9162023338210742E-6</v>
      </c>
      <c r="U45" s="127">
        <v>1.3504923488104405E-9</v>
      </c>
      <c r="V45" s="127">
        <v>1.2200542997375495E-9</v>
      </c>
      <c r="W45" s="128">
        <v>1.1072484801979864E-9</v>
      </c>
      <c r="X45" s="128">
        <f t="shared" si="0"/>
        <v>1.2244623571208813E-9</v>
      </c>
      <c r="Y45" s="139">
        <f t="shared" si="1"/>
        <v>3.1817776476004616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1.25516972118E-2</v>
      </c>
      <c r="J46" s="109">
        <v>9.6092617646487703E-10</v>
      </c>
      <c r="K46" s="109">
        <v>1.1049862818775912E-10</v>
      </c>
      <c r="L46" s="152">
        <v>1.0929067723883483E-9</v>
      </c>
      <c r="N46" s="18">
        <v>1.8494613241297705E-6</v>
      </c>
      <c r="O46" s="18">
        <v>1.2572536363639397E-10</v>
      </c>
      <c r="P46" s="18">
        <v>4.159251579794013E-8</v>
      </c>
      <c r="Q46" s="28">
        <v>9.6605757050803405</v>
      </c>
      <c r="R46" s="60">
        <v>126.67533742075564</v>
      </c>
      <c r="S46" s="57">
        <v>1.9162023338210742E-6</v>
      </c>
      <c r="U46" s="127">
        <v>1.2078071911436393E-9</v>
      </c>
      <c r="V46" s="127">
        <v>1.0929067723883483E-9</v>
      </c>
      <c r="W46" s="128">
        <v>1.0037334572215422E-9</v>
      </c>
      <c r="X46" s="128">
        <f t="shared" si="0"/>
        <v>1.0993385482854695E-9</v>
      </c>
      <c r="Y46" s="139">
        <f t="shared" si="1"/>
        <v>1.5690473461989614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1.26772141839E-2</v>
      </c>
      <c r="J47" s="109">
        <v>8.3978445743312144E-10</v>
      </c>
      <c r="K47" s="109">
        <v>1.0840255367763112E-10</v>
      </c>
      <c r="L47" s="152">
        <v>9.9249790242730752E-10</v>
      </c>
      <c r="N47" s="18">
        <v>1.844878548001624E-6</v>
      </c>
      <c r="O47" s="18">
        <v>1.2978785359540007E-10</v>
      </c>
      <c r="P47" s="18">
        <v>4.2877080592836606E-8</v>
      </c>
      <c r="Q47" s="28">
        <v>9.6605757050803405</v>
      </c>
      <c r="R47" s="60">
        <v>126.67533742075564</v>
      </c>
      <c r="S47" s="57">
        <v>1.9722618021335981E-6</v>
      </c>
      <c r="U47" s="127">
        <v>1.0859040937230102E-9</v>
      </c>
      <c r="V47" s="127">
        <v>9.9249790242730752E-10</v>
      </c>
      <c r="W47" s="128">
        <v>9.3201286065645973E-10</v>
      </c>
      <c r="X47" s="128">
        <f t="shared" si="0"/>
        <v>1.0007281898085213E-9</v>
      </c>
      <c r="Y47" s="139">
        <f t="shared" si="1"/>
        <v>2.204291931473326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1.28039863258E-2</v>
      </c>
      <c r="J48" s="109">
        <v>8.1540216464267144E-10</v>
      </c>
      <c r="K48" s="109">
        <v>1.0565602656358914E-10</v>
      </c>
      <c r="L48" s="152">
        <v>9.2015388505900787E-10</v>
      </c>
      <c r="N48" s="18">
        <v>1.8407443064016514E-6</v>
      </c>
      <c r="O48" s="18">
        <v>1.3345273150310319E-10</v>
      </c>
      <c r="P48" s="18">
        <v>4.4035919921754239E-8</v>
      </c>
      <c r="Q48" s="28">
        <v>9.6605757050803405</v>
      </c>
      <c r="R48" s="60">
        <v>130.74004374211191</v>
      </c>
      <c r="S48" s="57">
        <v>1.9722618021335981E-6</v>
      </c>
      <c r="U48" s="127">
        <v>9.8713728814120862E-10</v>
      </c>
      <c r="V48" s="127">
        <v>9.2015388505900787E-10</v>
      </c>
      <c r="W48" s="128">
        <v>8.9189930000477736E-10</v>
      </c>
      <c r="X48" s="128">
        <f t="shared" si="0"/>
        <v>9.2983608956600048E-10</v>
      </c>
      <c r="Y48" s="139">
        <f t="shared" si="1"/>
        <v>1.1730621976844982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1.2932026189000001E-2</v>
      </c>
      <c r="J49" s="109">
        <v>8.1398845307476322E-10</v>
      </c>
      <c r="K49" s="109">
        <v>9.9138194866424527E-11</v>
      </c>
      <c r="L49" s="152">
        <v>8.7585053417977581E-10</v>
      </c>
      <c r="N49" s="18">
        <v>1.8370571378382084E-6</v>
      </c>
      <c r="O49" s="18">
        <v>1.3672129292685509E-10</v>
      </c>
      <c r="P49" s="18">
        <v>4.506944344483406E-8</v>
      </c>
      <c r="Q49" s="28">
        <v>9.6605757050803405</v>
      </c>
      <c r="R49" s="60">
        <v>130.74004374211191</v>
      </c>
      <c r="S49" s="57">
        <v>1.9800077228275033E-6</v>
      </c>
      <c r="U49" s="127">
        <v>9.1270713387609202E-10</v>
      </c>
      <c r="V49" s="127">
        <v>8.7585053417977581E-10</v>
      </c>
      <c r="W49" s="128">
        <v>8.817514386662093E-10</v>
      </c>
      <c r="X49" s="128">
        <f t="shared" si="0"/>
        <v>8.8653991022546321E-10</v>
      </c>
      <c r="Y49" s="139">
        <f t="shared" si="1"/>
        <v>0.53556262926435727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1.3061346450899999E-2</v>
      </c>
      <c r="J50" s="109">
        <v>8.6870625101601337E-10</v>
      </c>
      <c r="K50" s="109">
        <v>1.085702863201787E-10</v>
      </c>
      <c r="L50" s="152">
        <v>8.5922644183955673E-10</v>
      </c>
      <c r="N50" s="18">
        <v>1.8338061150685997E-6</v>
      </c>
      <c r="O50" s="18">
        <v>1.3960322453091459E-10</v>
      </c>
      <c r="P50" s="18">
        <v>4.5980714098357117E-8</v>
      </c>
      <c r="Q50" s="28">
        <v>9.6605757050803405</v>
      </c>
      <c r="R50" s="60">
        <v>759.39384900276616</v>
      </c>
      <c r="S50" s="57">
        <v>1.9800077228275033E-6</v>
      </c>
      <c r="U50" s="127">
        <v>8.6376131501462154E-10</v>
      </c>
      <c r="V50" s="127">
        <v>8.5922644183955673E-10</v>
      </c>
      <c r="W50" s="128">
        <v>8.9938586975371653E-10</v>
      </c>
      <c r="X50" s="128">
        <f t="shared" si="0"/>
        <v>8.7040001711186291E-10</v>
      </c>
      <c r="Y50" s="139">
        <f t="shared" si="1"/>
        <v>2.4338000987081396E-4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1.31919599154E-2</v>
      </c>
      <c r="J51" s="109">
        <v>9.2637395094100004E-10</v>
      </c>
      <c r="K51" s="109">
        <v>1.1086698092109902E-10</v>
      </c>
      <c r="L51" s="152">
        <v>8.6814313706283725E-10</v>
      </c>
      <c r="N51" s="18">
        <v>1.8309722653115561E-6</v>
      </c>
      <c r="O51" s="18">
        <v>1.4211534510180915E-10</v>
      </c>
      <c r="P51" s="18">
        <v>4.6775050005268713E-8</v>
      </c>
      <c r="Q51" s="28">
        <v>9.6605757050803405</v>
      </c>
      <c r="R51" s="60">
        <v>759.39384900276616</v>
      </c>
      <c r="S51" s="57">
        <v>1.9793725700037306E-6</v>
      </c>
      <c r="U51" s="127">
        <v>8.3963706238791289E-10</v>
      </c>
      <c r="V51" s="127">
        <v>8.6814313706283725E-10</v>
      </c>
      <c r="W51" s="128">
        <v>9.4103384227084089E-10</v>
      </c>
      <c r="X51" s="128">
        <f t="shared" si="0"/>
        <v>8.792392946961071E-10</v>
      </c>
      <c r="Y51" s="139">
        <f t="shared" si="1"/>
        <v>0.18074914259275698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1.33238795146E-2</v>
      </c>
      <c r="J52" s="109">
        <v>1.0242835034186076E-9</v>
      </c>
      <c r="K52" s="109">
        <v>1.1411867894999686E-10</v>
      </c>
      <c r="L52" s="152">
        <v>8.9990097520645484E-10</v>
      </c>
      <c r="N52" s="18">
        <v>1.8285301660171354E-6</v>
      </c>
      <c r="O52" s="18">
        <v>1.4428019094744123E-10</v>
      </c>
      <c r="P52" s="18">
        <v>4.7459577176471179E-8</v>
      </c>
      <c r="Q52" s="28">
        <v>9.6605757050803405</v>
      </c>
      <c r="R52" s="60">
        <v>832.55106049809001</v>
      </c>
      <c r="S52" s="57">
        <v>1.9793725700037306E-6</v>
      </c>
      <c r="U52" s="127">
        <v>8.3914843997693885E-10</v>
      </c>
      <c r="V52" s="127">
        <v>8.9990097520645484E-10</v>
      </c>
      <c r="W52" s="128">
        <v>1.0024433830314638E-9</v>
      </c>
      <c r="X52" s="128">
        <f t="shared" si="0"/>
        <v>9.1034844335532802E-10</v>
      </c>
      <c r="Y52" s="139">
        <f t="shared" si="1"/>
        <v>0.99678455507097519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1.3457118309700001E-2</v>
      </c>
      <c r="J53" s="109">
        <v>9.6693614813810266E-10</v>
      </c>
      <c r="K53" s="109">
        <v>1.0429606698362038E-10</v>
      </c>
      <c r="L53" s="152">
        <v>9.5110586529224593E-10</v>
      </c>
      <c r="N53" s="18">
        <v>1.8264496100751286E-6</v>
      </c>
      <c r="O53" s="18">
        <v>1.4612453974109947E-10</v>
      </c>
      <c r="P53" s="18">
        <v>4.8042762748312626E-8</v>
      </c>
      <c r="Q53" s="28">
        <v>9.6605757050803405</v>
      </c>
      <c r="R53" s="60">
        <v>832.55106049809001</v>
      </c>
      <c r="S53" s="57">
        <v>1.9747757853211943E-6</v>
      </c>
      <c r="U53" s="127">
        <v>8.603470338508334E-10</v>
      </c>
      <c r="V53" s="127">
        <v>9.5110586529224593E-10</v>
      </c>
      <c r="W53" s="128">
        <v>1.0788566368036925E-9</v>
      </c>
      <c r="X53" s="128">
        <f t="shared" si="0"/>
        <v>9.6035385030975441E-10</v>
      </c>
      <c r="Y53" s="139">
        <f t="shared" si="1"/>
        <v>3.9830815184781852E-3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1.3591689492799999E-2</v>
      </c>
      <c r="J54" s="109">
        <v>8.9776177894677965E-10</v>
      </c>
      <c r="K54" s="109">
        <v>1.026920359845431E-10</v>
      </c>
      <c r="L54" s="152">
        <v>1.0178343514341187E-9</v>
      </c>
      <c r="N54" s="18">
        <v>1.8246972434588747E-6</v>
      </c>
      <c r="O54" s="18">
        <v>1.4767795880063096E-10</v>
      </c>
      <c r="P54" s="18">
        <v>4.8533955946506662E-8</v>
      </c>
      <c r="Q54" s="28">
        <v>9.6605757050803405</v>
      </c>
      <c r="R54" s="60">
        <v>887.02696045277821</v>
      </c>
      <c r="S54" s="57">
        <v>1.9747757853211943E-6</v>
      </c>
      <c r="U54" s="127">
        <v>9.0062735401724153E-10</v>
      </c>
      <c r="V54" s="127">
        <v>1.0178343514341187E-9</v>
      </c>
      <c r="W54" s="128">
        <v>1.165220785920935E-9</v>
      </c>
      <c r="X54" s="128">
        <f t="shared" si="0"/>
        <v>1.0253792107016035E-9</v>
      </c>
      <c r="Y54" s="139">
        <f t="shared" si="1"/>
        <v>1.5443526304226025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1.37276063878E-2</v>
      </c>
      <c r="J55" s="109">
        <v>1.1296457903347469E-9</v>
      </c>
      <c r="K55" s="109">
        <v>1.1493207922965477E-10</v>
      </c>
      <c r="L55" s="152">
        <v>1.0958012278184852E-9</v>
      </c>
      <c r="N55" s="18">
        <v>1.82323809334077E-6</v>
      </c>
      <c r="O55" s="18">
        <v>1.4897145046108461E-10</v>
      </c>
      <c r="P55" s="18">
        <v>4.8942959751138204E-8</v>
      </c>
      <c r="Q55" s="28">
        <v>9.6605757050803405</v>
      </c>
      <c r="R55" s="60">
        <v>887.02696045277821</v>
      </c>
      <c r="S55" s="57">
        <v>1.9681258460409365E-6</v>
      </c>
      <c r="U55" s="127">
        <v>9.5684739945451084E-10</v>
      </c>
      <c r="V55" s="127">
        <v>1.0958012278184852E-9</v>
      </c>
      <c r="W55" s="128">
        <v>1.2563852946426047E-9</v>
      </c>
      <c r="X55" s="128">
        <f t="shared" si="0"/>
        <v>1.1012087874335216E-9</v>
      </c>
      <c r="Y55" s="139">
        <f t="shared" si="1"/>
        <v>6.1218843002813252E-2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1.3864882451600001E-2</v>
      </c>
      <c r="J56" s="109">
        <v>1.1666275397929469E-9</v>
      </c>
      <c r="K56" s="109">
        <v>1.1463542975887594E-10</v>
      </c>
      <c r="L56" s="152">
        <v>1.1805229680609916E-9</v>
      </c>
      <c r="N56" s="18">
        <v>1.8220369236183875E-6</v>
      </c>
      <c r="O56" s="18">
        <v>1.5003625044253488E-10</v>
      </c>
      <c r="P56" s="18">
        <v>4.9279650938951516E-8</v>
      </c>
      <c r="Q56" s="28">
        <v>9.6605757050803405</v>
      </c>
      <c r="R56" s="60">
        <v>917.34165020334206</v>
      </c>
      <c r="S56" s="57">
        <v>1.9681258460409365E-6</v>
      </c>
      <c r="U56" s="127">
        <v>1.0254574496907706E-9</v>
      </c>
      <c r="V56" s="127">
        <v>1.1805229680609916E-9</v>
      </c>
      <c r="W56" s="128">
        <v>1.3472817196953115E-9</v>
      </c>
      <c r="X56" s="128">
        <f t="shared" si="0"/>
        <v>1.1834462763770164E-9</v>
      </c>
      <c r="Y56" s="139">
        <f t="shared" si="1"/>
        <v>2.1525289963067615E-2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1.40035312762E-2</v>
      </c>
      <c r="J57" s="109">
        <v>1.4097064403253648E-9</v>
      </c>
      <c r="K57" s="109">
        <v>1.2531900343804245E-10</v>
      </c>
      <c r="L57" s="152">
        <v>1.2674727048764365E-9</v>
      </c>
      <c r="N57" s="18">
        <v>1.8210593754160494E-6</v>
      </c>
      <c r="O57" s="18">
        <v>1.5090281682719851E-10</v>
      </c>
      <c r="P57" s="18">
        <v>4.9553660396553224E-8</v>
      </c>
      <c r="Q57" s="28">
        <v>9.6605757050803405</v>
      </c>
      <c r="R57" s="60">
        <v>917.34165020334206</v>
      </c>
      <c r="S57" s="57">
        <v>1.9606010918447605E-6</v>
      </c>
      <c r="U57" s="127">
        <v>1.1026314352374321E-9</v>
      </c>
      <c r="V57" s="127">
        <v>1.2674727048764365E-9</v>
      </c>
      <c r="W57" s="128">
        <v>1.4330851715531377E-9</v>
      </c>
      <c r="X57" s="128">
        <f t="shared" si="0"/>
        <v>1.2676655041358607E-9</v>
      </c>
      <c r="Y57" s="139">
        <f t="shared" si="1"/>
        <v>1.2846747459714076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1.41435665889E-2</v>
      </c>
      <c r="J58" s="109">
        <v>1.3440174879248725E-9</v>
      </c>
      <c r="K58" s="109">
        <v>1.1959354320700557E-10</v>
      </c>
      <c r="L58" s="152">
        <v>1.3522245929926533E-9</v>
      </c>
      <c r="N58" s="18">
        <v>1.820270583008488E-6</v>
      </c>
      <c r="O58" s="18">
        <v>1.5160002919437822E-10</v>
      </c>
      <c r="P58" s="18">
        <v>4.9774119885803162E-8</v>
      </c>
      <c r="Q58" s="28">
        <v>9.6605757050803405</v>
      </c>
      <c r="R58" s="60">
        <v>939.55227906701941</v>
      </c>
      <c r="S58" s="57">
        <v>1.9606010918447605E-6</v>
      </c>
      <c r="U58" s="127">
        <v>1.1843967290083371E-9</v>
      </c>
      <c r="V58" s="127">
        <v>1.3522245929926533E-9</v>
      </c>
      <c r="W58" s="128">
        <v>1.5093582995746194E-9</v>
      </c>
      <c r="X58" s="128">
        <f t="shared" si="0"/>
        <v>1.3495510536420658E-9</v>
      </c>
      <c r="Y58" s="139">
        <f t="shared" si="1"/>
        <v>2.1408916000058317E-3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1.42850022548E-2</v>
      </c>
      <c r="J59" s="109">
        <v>1.550645077325412E-9</v>
      </c>
      <c r="K59" s="109">
        <v>1.2810232048244725E-10</v>
      </c>
      <c r="L59" s="152">
        <v>1.4305869206487191E-9</v>
      </c>
      <c r="N59" s="18">
        <v>1.809906751957145E-6</v>
      </c>
      <c r="O59" s="18">
        <v>1.5215460107028246E-10</v>
      </c>
      <c r="P59" s="18">
        <v>4.9949476259656341E-8</v>
      </c>
      <c r="Q59" s="28">
        <v>9.6605757050803405</v>
      </c>
      <c r="R59" s="60">
        <v>939.55227906701941</v>
      </c>
      <c r="S59" s="57">
        <v>1.9526598411106783E-6</v>
      </c>
      <c r="U59" s="127">
        <v>1.2667596399540844E-9</v>
      </c>
      <c r="V59" s="127">
        <v>1.4305869206487191E-9</v>
      </c>
      <c r="W59" s="128">
        <v>1.572179422245725E-9</v>
      </c>
      <c r="X59" s="128">
        <f t="shared" si="0"/>
        <v>1.4250282258743118E-9</v>
      </c>
      <c r="Y59" s="139">
        <f t="shared" si="1"/>
        <v>0.96157201185392005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1.44278522774E-2</v>
      </c>
      <c r="J60" s="109">
        <v>1.6964624496063387E-9</v>
      </c>
      <c r="K60" s="109">
        <v>1.3125053122923898E-10</v>
      </c>
      <c r="L60" s="152">
        <v>1.4987241998340106E-9</v>
      </c>
      <c r="N60" s="18">
        <v>1.5772258908700549E-6</v>
      </c>
      <c r="O60" s="18">
        <v>1.5249156013204106E-10</v>
      </c>
      <c r="P60" s="18">
        <v>5.0056023168676228E-8</v>
      </c>
      <c r="Q60" s="28">
        <v>4.8302878525401702</v>
      </c>
      <c r="R60" s="60">
        <v>957.62698477553613</v>
      </c>
      <c r="S60" s="57">
        <v>1.9526598411106783E-6</v>
      </c>
      <c r="U60" s="127">
        <v>1.3458250726634104E-9</v>
      </c>
      <c r="V60" s="127">
        <v>1.4987241998340106E-9</v>
      </c>
      <c r="W60" s="128">
        <v>1.6182562493933693E-9</v>
      </c>
      <c r="X60" s="128">
        <f t="shared" si="0"/>
        <v>1.4903824304312002E-9</v>
      </c>
      <c r="Y60" s="139">
        <f t="shared" si="1"/>
        <v>2.4652991867814231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1.4572130800099999E-2</v>
      </c>
      <c r="J61" s="109">
        <v>1.4411834284867508E-9</v>
      </c>
      <c r="K61" s="109">
        <v>1.1923746393142024E-10</v>
      </c>
      <c r="L61" s="152">
        <v>1.5532686969718747E-9</v>
      </c>
      <c r="N61" s="18">
        <v>1.3836276152180734E-6</v>
      </c>
      <c r="O61" s="18">
        <v>1.5392462373247677E-10</v>
      </c>
      <c r="P61" s="18">
        <v>5.050914391620612E-8</v>
      </c>
      <c r="Q61" s="28">
        <v>0.22727272727272727</v>
      </c>
      <c r="R61" s="60">
        <v>957.62698477553613</v>
      </c>
      <c r="S61" s="57">
        <v>1.9445119083541222E-6</v>
      </c>
      <c r="U61" s="127">
        <v>1.4179096425424417E-9</v>
      </c>
      <c r="V61" s="127">
        <v>1.5532686969718747E-9</v>
      </c>
      <c r="W61" s="128">
        <v>1.6450257743602324E-9</v>
      </c>
      <c r="X61" s="128">
        <f t="shared" si="0"/>
        <v>1.542368202711606E-9</v>
      </c>
      <c r="Y61" s="139">
        <f t="shared" si="1"/>
        <v>0.72012000047439073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1.4717852108099999E-2</v>
      </c>
      <c r="J62" s="109">
        <v>1.4015360455151132E-9</v>
      </c>
      <c r="K62" s="109">
        <v>1.1943384699281694E-10</v>
      </c>
      <c r="L62" s="152">
        <v>1.5914215324459657E-9</v>
      </c>
      <c r="N62" s="18">
        <v>1.3564822043956293E-6</v>
      </c>
      <c r="O62" s="18">
        <v>1.5392438425026633E-10</v>
      </c>
      <c r="P62" s="18">
        <v>5.0509049871967987E-8</v>
      </c>
      <c r="Q62" s="28">
        <v>0.45454545454545453</v>
      </c>
      <c r="R62" s="60">
        <v>973.23459350266398</v>
      </c>
      <c r="S62" s="57">
        <v>1.9445119083541222E-6</v>
      </c>
      <c r="U62" s="127">
        <v>1.4796479433871304E-9</v>
      </c>
      <c r="V62" s="127">
        <v>1.5914215324459657E-9</v>
      </c>
      <c r="W62" s="128">
        <v>1.6507395758143253E-9</v>
      </c>
      <c r="X62" s="128">
        <f t="shared" si="0"/>
        <v>1.5783076460233468E-9</v>
      </c>
      <c r="Y62" s="139">
        <f t="shared" si="1"/>
        <v>2.1906356229469548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1.4865030629200001E-2</v>
      </c>
      <c r="J63" s="109">
        <v>1.6321333684606274E-9</v>
      </c>
      <c r="K63" s="109">
        <v>1.254755655260548E-10</v>
      </c>
      <c r="L63" s="152">
        <v>1.6110427179090902E-9</v>
      </c>
      <c r="N63" s="18">
        <v>1.320686415414171E-6</v>
      </c>
      <c r="O63" s="18">
        <v>1.5392363528405696E-10</v>
      </c>
      <c r="P63" s="18">
        <v>5.0508755754269556E-8</v>
      </c>
      <c r="Q63" s="28">
        <v>0.45454545454545453</v>
      </c>
      <c r="R63" s="60">
        <v>973.23459350266398</v>
      </c>
      <c r="S63" s="57">
        <v>1.9362618885333883E-6</v>
      </c>
      <c r="U63" s="127">
        <v>1.5280916683062125E-9</v>
      </c>
      <c r="V63" s="127">
        <v>1.6110427179090902E-9</v>
      </c>
      <c r="W63" s="128">
        <v>1.6345322256596536E-9</v>
      </c>
      <c r="X63" s="128">
        <f t="shared" si="0"/>
        <v>1.5961773324460118E-9</v>
      </c>
      <c r="Y63" s="139">
        <f t="shared" si="1"/>
        <v>8.2115528054488324E-2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1.50136809355E-2</v>
      </c>
      <c r="J64" s="109">
        <v>1.8144561433004715E-9</v>
      </c>
      <c r="K64" s="109">
        <v>1.3154768393432052E-10</v>
      </c>
      <c r="L64" s="152">
        <v>1.6107284705980192E-9</v>
      </c>
      <c r="N64" s="18">
        <v>1.2857202900078521E-6</v>
      </c>
      <c r="O64" s="18">
        <v>1.5392176934880552E-10</v>
      </c>
      <c r="P64" s="18">
        <v>5.0508023004814749E-8</v>
      </c>
      <c r="Q64" s="28">
        <v>0.45454545454545453</v>
      </c>
      <c r="R64" s="60">
        <v>987.25557958988065</v>
      </c>
      <c r="S64" s="57">
        <v>1.9362618885333883E-6</v>
      </c>
      <c r="U64" s="127">
        <v>1.5608009377901685E-9</v>
      </c>
      <c r="V64" s="127">
        <v>1.6107284705980192E-9</v>
      </c>
      <c r="W64" s="128">
        <v>1.5964690060845868E-9</v>
      </c>
      <c r="X64" s="128">
        <f t="shared" si="0"/>
        <v>1.5946817212676985E-9</v>
      </c>
      <c r="Y64" s="139">
        <f t="shared" si="1"/>
        <v>2.7911802334413429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1.5163817744900001E-2</v>
      </c>
      <c r="J65" s="109">
        <v>1.3691076916564363E-9</v>
      </c>
      <c r="K65" s="109">
        <v>1.1720716283064645E-10</v>
      </c>
      <c r="L65" s="152">
        <v>1.5898730136016897E-9</v>
      </c>
      <c r="N65" s="18">
        <v>1.251980040330452E-6</v>
      </c>
      <c r="O65" s="18">
        <v>1.5391732796236246E-10</v>
      </c>
      <c r="P65" s="18">
        <v>5.0506278880257284E-8</v>
      </c>
      <c r="Q65" s="28">
        <v>0.45454545454545453</v>
      </c>
      <c r="R65" s="60">
        <v>987.25557958988065</v>
      </c>
      <c r="S65" s="57">
        <v>1.9279638069523969E-6</v>
      </c>
      <c r="U65" s="127">
        <v>1.5759265661380864E-9</v>
      </c>
      <c r="V65" s="127">
        <v>1.5898730136016897E-9</v>
      </c>
      <c r="W65" s="128">
        <v>1.5375679484097799E-9</v>
      </c>
      <c r="X65" s="128">
        <f t="shared" si="0"/>
        <v>1.5733101354378115E-9</v>
      </c>
      <c r="Y65" s="139">
        <f t="shared" si="1"/>
        <v>3.0353834625590785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1.5315455922300001E-2</v>
      </c>
      <c r="J66" s="109">
        <v>1.595379648810494E-9</v>
      </c>
      <c r="K66" s="109">
        <v>1.2048609774975372E-10</v>
      </c>
      <c r="L66" s="152">
        <v>1.5487110298808839E-9</v>
      </c>
      <c r="N66" s="18">
        <v>1.2198511773246E-6</v>
      </c>
      <c r="O66" s="18">
        <v>1.5390722782781785E-10</v>
      </c>
      <c r="P66" s="18">
        <v>5.0502312575384026E-8</v>
      </c>
      <c r="Q66" s="28">
        <v>0.45454545454545453</v>
      </c>
      <c r="R66" s="60">
        <v>1000.2249969788388</v>
      </c>
      <c r="S66" s="57">
        <v>1.9279638069523969E-6</v>
      </c>
      <c r="U66" s="127">
        <v>1.5722812107648129E-9</v>
      </c>
      <c r="V66" s="127">
        <v>1.5487110298808839E-9</v>
      </c>
      <c r="W66" s="128">
        <v>1.459790564099795E-9</v>
      </c>
      <c r="X66" s="128">
        <f t="shared" si="0"/>
        <v>1.532373458656594E-9</v>
      </c>
      <c r="Y66" s="139">
        <f t="shared" si="1"/>
        <v>0.27345921414426033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1.54686104815E-2</v>
      </c>
      <c r="J67" s="109">
        <v>1.5852511306460917E-9</v>
      </c>
      <c r="K67" s="109">
        <v>9.4473949756459549E-11</v>
      </c>
      <c r="L67" s="152">
        <v>1.4883361707894874E-9</v>
      </c>
      <c r="N67" s="18">
        <v>1.1897245271730236E-6</v>
      </c>
      <c r="O67" s="18">
        <v>1.5388528355918637E-10</v>
      </c>
      <c r="P67" s="18">
        <v>5.0493695100118872E-8</v>
      </c>
      <c r="Q67" s="28">
        <v>0.45454545454545453</v>
      </c>
      <c r="R67" s="60">
        <v>1000.2249969788388</v>
      </c>
      <c r="S67" s="57">
        <v>1.9196453493160927E-6</v>
      </c>
      <c r="U67" s="127">
        <v>1.5493965174329772E-9</v>
      </c>
      <c r="V67" s="127">
        <v>1.4883361707894874E-9</v>
      </c>
      <c r="W67" s="128">
        <v>1.3659957520265988E-9</v>
      </c>
      <c r="X67" s="128">
        <f t="shared" ref="X67:X130" si="2">(U67+2*V67+W67)/4</f>
        <v>1.4730161527596378E-9</v>
      </c>
      <c r="Y67" s="139">
        <f t="shared" ref="Y67:Y130" si="3">(J67-X67)*(J67-X67)/(K67*K67)</f>
        <v>1.4113421282471117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1.56232965864E-2</v>
      </c>
      <c r="J68" s="109">
        <v>1.2906114546220578E-9</v>
      </c>
      <c r="K68" s="109">
        <v>8.6043924310701508E-11</v>
      </c>
      <c r="L68" s="152">
        <v>1.410690709812263E-9</v>
      </c>
      <c r="N68" s="18">
        <v>1.162032181136784E-6</v>
      </c>
      <c r="O68" s="18">
        <v>1.5383973244666914E-10</v>
      </c>
      <c r="P68" s="18">
        <v>5.0475807259242999E-8</v>
      </c>
      <c r="Q68" s="28">
        <v>0.45454545454545453</v>
      </c>
      <c r="R68" s="60">
        <v>1012.5049423845621</v>
      </c>
      <c r="S68" s="57">
        <v>1.9196453493160927E-6</v>
      </c>
      <c r="U68" s="127">
        <v>1.5075626340924949E-9</v>
      </c>
      <c r="V68" s="127">
        <v>1.410690709812263E-9</v>
      </c>
      <c r="W68" s="128">
        <v>1.2598523906906863E-9</v>
      </c>
      <c r="X68" s="128">
        <f t="shared" si="2"/>
        <v>1.3971991111019269E-9</v>
      </c>
      <c r="Y68" s="139">
        <f t="shared" si="3"/>
        <v>1.534523020592929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1.5779529552200001E-2</v>
      </c>
      <c r="J69" s="109">
        <v>1.1913791677143576E-9</v>
      </c>
      <c r="K69" s="109">
        <v>8.1331966798177311E-11</v>
      </c>
      <c r="L69" s="152">
        <v>1.318521733319088E-9</v>
      </c>
      <c r="N69" s="18">
        <v>1.1373099452928084E-6</v>
      </c>
      <c r="O69" s="18">
        <v>1.5374939678812531E-10</v>
      </c>
      <c r="P69" s="18">
        <v>5.0440332606788841E-8</v>
      </c>
      <c r="Q69" s="28">
        <v>0.45454545454545453</v>
      </c>
      <c r="R69" s="60">
        <v>1012.5049423845621</v>
      </c>
      <c r="S69" s="57">
        <v>1.9113198334860534E-6</v>
      </c>
      <c r="U69" s="127">
        <v>1.4478459581120799E-9</v>
      </c>
      <c r="V69" s="127">
        <v>1.318521733319088E-9</v>
      </c>
      <c r="W69" s="128">
        <v>1.1457081136059489E-9</v>
      </c>
      <c r="X69" s="128">
        <f t="shared" si="2"/>
        <v>1.3076493845890511E-9</v>
      </c>
      <c r="Y69" s="139">
        <f t="shared" si="3"/>
        <v>2.0436871568502357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1.59373248477E-2</v>
      </c>
      <c r="J70" s="109">
        <v>1.0411144453769143E-9</v>
      </c>
      <c r="K70" s="109">
        <v>7.7176757529313269E-11</v>
      </c>
      <c r="L70" s="152">
        <v>1.2153002809815823E-9</v>
      </c>
      <c r="N70" s="18">
        <v>1.1162906076860634E-6</v>
      </c>
      <c r="O70" s="18">
        <v>1.5357823763804676E-10</v>
      </c>
      <c r="P70" s="18">
        <v>5.0373118712948229E-8</v>
      </c>
      <c r="Q70" s="28">
        <v>0.45454545454545453</v>
      </c>
      <c r="R70" s="60">
        <v>1024.3650228259535</v>
      </c>
      <c r="S70" s="57">
        <v>1.9113198334860534E-6</v>
      </c>
      <c r="U70" s="127">
        <v>1.3720808417363068E-9</v>
      </c>
      <c r="V70" s="127">
        <v>1.2153002809815823E-9</v>
      </c>
      <c r="W70" s="128">
        <v>1.0284146558538672E-9</v>
      </c>
      <c r="X70" s="128">
        <f t="shared" si="2"/>
        <v>1.2077740148883346E-9</v>
      </c>
      <c r="Y70" s="139">
        <f t="shared" si="3"/>
        <v>4.6632366399685097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1.6096698096199999E-2</v>
      </c>
      <c r="J71" s="109">
        <v>1.028866736014415E-9</v>
      </c>
      <c r="K71" s="109">
        <v>7.4122948152138775E-11</v>
      </c>
      <c r="L71" s="152">
        <v>1.1051016273743987E-9</v>
      </c>
      <c r="N71" s="18">
        <v>1.1000259682102457E-6</v>
      </c>
      <c r="O71" s="18">
        <v>1.5326841009825541E-10</v>
      </c>
      <c r="P71" s="18">
        <v>5.0251449989079967E-8</v>
      </c>
      <c r="Q71" s="28">
        <v>0.45454545454545453</v>
      </c>
      <c r="R71" s="60">
        <v>1024.3650228259535</v>
      </c>
      <c r="S71" s="57">
        <v>1.902992688950761E-6</v>
      </c>
      <c r="U71" s="127">
        <v>1.2828313306092342E-9</v>
      </c>
      <c r="V71" s="127">
        <v>1.1051016273743987E-9</v>
      </c>
      <c r="W71" s="128">
        <v>9.131137408200626E-10</v>
      </c>
      <c r="X71" s="128">
        <f t="shared" si="2"/>
        <v>1.1015370815445236E-9</v>
      </c>
      <c r="Y71" s="139">
        <f t="shared" si="3"/>
        <v>0.96118964012932262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1.6257665077200001E-2</v>
      </c>
      <c r="J72" s="109">
        <v>9.2392814684718007E-10</v>
      </c>
      <c r="K72" s="109">
        <v>7.098323865221646E-11</v>
      </c>
      <c r="L72" s="152">
        <v>9.9244736115743728E-10</v>
      </c>
      <c r="N72" s="18">
        <v>1.0900239240088537E-6</v>
      </c>
      <c r="O72" s="18">
        <v>1.5273259210709308E-10</v>
      </c>
      <c r="P72" s="18">
        <v>5.0041035216867413E-8</v>
      </c>
      <c r="Q72" s="28">
        <v>0.45454545454545453</v>
      </c>
      <c r="R72" s="60">
        <v>1036.0258740031375</v>
      </c>
      <c r="S72" s="57">
        <v>1.902992688950761E-6</v>
      </c>
      <c r="U72" s="127">
        <v>1.1833199253258388E-9</v>
      </c>
      <c r="V72" s="127">
        <v>9.9244736115743728E-10</v>
      </c>
      <c r="W72" s="128">
        <v>8.0499138197693072E-10</v>
      </c>
      <c r="X72" s="128">
        <f t="shared" si="2"/>
        <v>9.9330150740441103E-10</v>
      </c>
      <c r="Y72" s="139">
        <f t="shared" si="3"/>
        <v>0.95515498153261436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1.6420241727999999E-2</v>
      </c>
      <c r="J73" s="109">
        <v>8.451048298760439E-10</v>
      </c>
      <c r="K73" s="109">
        <v>6.9548628451063105E-11</v>
      </c>
      <c r="L73" s="152">
        <v>8.8211290691660486E-10</v>
      </c>
      <c r="N73" s="18">
        <v>1.0883705745929531E-6</v>
      </c>
      <c r="O73" s="18">
        <v>1.5184729200633146E-10</v>
      </c>
      <c r="P73" s="18">
        <v>4.9693379441746038E-8</v>
      </c>
      <c r="Q73" s="28">
        <v>0.45454545454545453</v>
      </c>
      <c r="R73" s="60">
        <v>1036.0258740031375</v>
      </c>
      <c r="S73" s="57">
        <v>1.8970961044201983E-6</v>
      </c>
      <c r="U73" s="127">
        <v>1.0773218674662614E-9</v>
      </c>
      <c r="V73" s="127">
        <v>8.8211290691660486E-10</v>
      </c>
      <c r="W73" s="128">
        <v>7.0901225500515192E-10</v>
      </c>
      <c r="X73" s="128">
        <f t="shared" si="2"/>
        <v>8.8763998407615577E-10</v>
      </c>
      <c r="Y73" s="139">
        <f t="shared" si="3"/>
        <v>0.37404071930649208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1.6584444145200002E-2</v>
      </c>
      <c r="J74" s="109">
        <v>6.4800112437861126E-10</v>
      </c>
      <c r="K74" s="109">
        <v>9.1513939305145631E-11</v>
      </c>
      <c r="L74" s="152">
        <v>7.7890736333133982E-10</v>
      </c>
      <c r="N74" s="18">
        <v>1.0977899652167233E-6</v>
      </c>
      <c r="O74" s="18">
        <v>1.5044983463714939E-10</v>
      </c>
      <c r="P74" s="18">
        <v>4.9144600418153815E-8</v>
      </c>
      <c r="Q74" s="28">
        <v>0.45454545454545453</v>
      </c>
      <c r="R74" s="60">
        <v>1040.8561618556776</v>
      </c>
      <c r="S74" s="57">
        <v>1.8970961044201983E-6</v>
      </c>
      <c r="U74" s="127">
        <v>9.6902550818914816E-10</v>
      </c>
      <c r="V74" s="127">
        <v>7.7890736333133982E-10</v>
      </c>
      <c r="W74" s="128">
        <v>6.2964893358065527E-10</v>
      </c>
      <c r="X74" s="128">
        <f t="shared" si="2"/>
        <v>7.8912229210812079E-10</v>
      </c>
      <c r="Y74" s="139">
        <f t="shared" si="3"/>
        <v>2.3779888947938503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1.67502885867E-2</v>
      </c>
      <c r="J75" s="109">
        <v>8.5153310595683697E-10</v>
      </c>
      <c r="K75" s="109">
        <v>1.0327571309097802E-10</v>
      </c>
      <c r="L75" s="152">
        <v>6.8743564421699083E-10</v>
      </c>
      <c r="N75" s="18">
        <v>1.1215829068723965E-6</v>
      </c>
      <c r="O75" s="18">
        <v>1.4834236768904425E-10</v>
      </c>
      <c r="P75" s="18">
        <v>4.8317001895623606E-8</v>
      </c>
      <c r="Q75" s="28">
        <v>0.45454545454545453</v>
      </c>
      <c r="R75" s="60">
        <v>1040.8561618556776</v>
      </c>
      <c r="S75" s="57">
        <v>1.8919097494521571E-6</v>
      </c>
      <c r="U75" s="127">
        <v>8.6286178902267336E-10</v>
      </c>
      <c r="V75" s="127">
        <v>6.8743564421699083E-10</v>
      </c>
      <c r="W75" s="128">
        <v>5.7062281203788636E-10</v>
      </c>
      <c r="X75" s="128">
        <f t="shared" si="2"/>
        <v>7.0208897237363526E-10</v>
      </c>
      <c r="Y75" s="139">
        <f t="shared" si="3"/>
        <v>2.0939260425817174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1.6917791472599999E-2</v>
      </c>
      <c r="J76" s="109">
        <v>5.8562934967904965E-10</v>
      </c>
      <c r="K76" s="109">
        <v>9.1296366280074702E-11</v>
      </c>
      <c r="L76" s="152">
        <v>6.1185551830214044E-10</v>
      </c>
      <c r="N76" s="18">
        <v>1.1633906270129019E-6</v>
      </c>
      <c r="O76" s="18">
        <v>1.4530598180669824E-10</v>
      </c>
      <c r="P76" s="18">
        <v>4.7124618559637941E-8</v>
      </c>
      <c r="Q76" s="28">
        <v>0.45454545454545453</v>
      </c>
      <c r="R76" s="60">
        <v>1050.516737560758</v>
      </c>
      <c r="S76" s="57">
        <v>1.8919097494521571E-6</v>
      </c>
      <c r="U76" s="127">
        <v>7.6330854304534797E-10</v>
      </c>
      <c r="V76" s="127">
        <v>6.1185551830214044E-10</v>
      </c>
      <c r="W76" s="128">
        <v>5.3467412071343886E-10</v>
      </c>
      <c r="X76" s="128">
        <f t="shared" si="2"/>
        <v>6.3042342509076698E-10</v>
      </c>
      <c r="Y76" s="139">
        <f t="shared" si="3"/>
        <v>0.24073219118939246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1.7086969387300002E-2</v>
      </c>
      <c r="J77" s="109">
        <v>5.9055743738988839E-10</v>
      </c>
      <c r="K77" s="109">
        <v>8.7983077132042533E-11</v>
      </c>
      <c r="L77" s="152">
        <v>5.5564388303819703E-10</v>
      </c>
      <c r="N77" s="18">
        <v>1.226756592699635E-6</v>
      </c>
      <c r="O77" s="18">
        <v>1.4112645118160966E-10</v>
      </c>
      <c r="P77" s="18">
        <v>4.5483324316184636E-8</v>
      </c>
      <c r="Q77" s="28">
        <v>0.45454545454545453</v>
      </c>
      <c r="R77" s="60">
        <v>1050.516737560758</v>
      </c>
      <c r="S77" s="57">
        <v>1.8850692321245212E-6</v>
      </c>
      <c r="U77" s="127">
        <v>6.7467793284730598E-10</v>
      </c>
      <c r="V77" s="127">
        <v>5.5564388303819703E-10</v>
      </c>
      <c r="W77" s="128">
        <v>5.2337742866189477E-10</v>
      </c>
      <c r="X77" s="128">
        <f t="shared" si="2"/>
        <v>5.7733578189639863E-10</v>
      </c>
      <c r="Y77" s="139">
        <f t="shared" si="3"/>
        <v>2.2582570765647951E-2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1.7257839081199999E-2</v>
      </c>
      <c r="J78" s="109">
        <v>5.3328898724086315E-10</v>
      </c>
      <c r="K78" s="109">
        <v>8.2248768366038368E-11</v>
      </c>
      <c r="L78" s="152">
        <v>5.2138721814435845E-10</v>
      </c>
      <c r="N78" s="18">
        <v>1.3145117359092174E-6</v>
      </c>
      <c r="O78" s="18">
        <v>1.3563011623289256E-10</v>
      </c>
      <c r="P78" s="18">
        <v>4.3324923356691892E-8</v>
      </c>
      <c r="Q78" s="28">
        <v>0.45454545454545453</v>
      </c>
      <c r="R78" s="60">
        <v>1060.1773132658384</v>
      </c>
      <c r="S78" s="57">
        <v>1.8850692321245212E-6</v>
      </c>
      <c r="U78" s="127">
        <v>6.008975900602667E-10</v>
      </c>
      <c r="V78" s="127">
        <v>5.2138721814435845E-10</v>
      </c>
      <c r="W78" s="128">
        <v>5.3701651737422059E-10</v>
      </c>
      <c r="X78" s="128">
        <f t="shared" si="2"/>
        <v>5.451721359308011E-10</v>
      </c>
      <c r="Y78" s="139">
        <f t="shared" si="3"/>
        <v>2.0873931599759084E-2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1.7430417472000002E-2</v>
      </c>
      <c r="J79" s="109">
        <v>5.213023077151339E-10</v>
      </c>
      <c r="K79" s="109">
        <v>8.2703895131484316E-11</v>
      </c>
      <c r="L79" s="152">
        <v>5.1061050973977286E-10</v>
      </c>
      <c r="N79" s="18">
        <v>1.4280745227964353E-6</v>
      </c>
      <c r="O79" s="18">
        <v>1.2872462070995875E-10</v>
      </c>
      <c r="P79" s="18">
        <v>4.0613147545803174E-8</v>
      </c>
      <c r="Q79" s="28">
        <v>0.45454545454545453</v>
      </c>
      <c r="R79" s="60">
        <v>1060.1773132658384</v>
      </c>
      <c r="S79" s="57">
        <v>1.8783835013325221E-6</v>
      </c>
      <c r="U79" s="127">
        <v>5.452976145339806E-10</v>
      </c>
      <c r="V79" s="127">
        <v>5.1061050973977286E-10</v>
      </c>
      <c r="W79" s="128">
        <v>5.7452878854254919E-10</v>
      </c>
      <c r="X79" s="128">
        <f t="shared" si="2"/>
        <v>5.352618556390189E-10</v>
      </c>
      <c r="Y79" s="139">
        <f t="shared" si="3"/>
        <v>2.8489890479829718E-2</v>
      </c>
      <c r="AA79" s="73"/>
      <c r="AB79" s="176"/>
      <c r="AC79" s="176"/>
      <c r="AD79" s="176"/>
      <c r="AJ79" s="135"/>
    </row>
    <row r="80" spans="2:36" x14ac:dyDescent="0.35">
      <c r="I80" s="109">
        <v>1.7604721646699999E-2</v>
      </c>
      <c r="J80" s="109">
        <v>7.000242391651965E-10</v>
      </c>
      <c r="K80" s="109">
        <v>9.1878918665996786E-11</v>
      </c>
      <c r="L80" s="152">
        <v>5.2365706342181413E-10</v>
      </c>
      <c r="N80" s="18">
        <v>1.5668167345799604E-6</v>
      </c>
      <c r="O80" s="18">
        <v>1.2043579780249245E-10</v>
      </c>
      <c r="P80" s="18">
        <v>3.7358141531164883E-8</v>
      </c>
      <c r="Q80" s="28">
        <v>0.45454545454545453</v>
      </c>
      <c r="R80" s="60">
        <v>1069.8378889709188</v>
      </c>
      <c r="S80" s="57">
        <v>1.8783835013325221E-6</v>
      </c>
      <c r="U80" s="127">
        <v>5.1041631099406553E-10</v>
      </c>
      <c r="V80" s="127">
        <v>5.2365706342181413E-10</v>
      </c>
      <c r="W80" s="128">
        <v>6.3352489216303312E-10</v>
      </c>
      <c r="X80" s="128">
        <f t="shared" si="2"/>
        <v>5.4781383250018173E-10</v>
      </c>
      <c r="Y80" s="139">
        <f t="shared" si="3"/>
        <v>2.7444602311124737</v>
      </c>
      <c r="AA80" s="73"/>
      <c r="AB80" s="176"/>
      <c r="AC80" s="176"/>
      <c r="AD80" s="176"/>
      <c r="AJ80" s="135"/>
    </row>
    <row r="81" spans="2:36" x14ac:dyDescent="0.35">
      <c r="I81" s="109">
        <v>1.77807688631E-2</v>
      </c>
      <c r="J81" s="109">
        <v>7.12966144560038E-10</v>
      </c>
      <c r="K81" s="109">
        <v>9.0720260922789243E-11</v>
      </c>
      <c r="L81" s="152">
        <v>5.5962873521324655E-10</v>
      </c>
      <c r="N81" s="18">
        <v>1.7276722930560841E-6</v>
      </c>
      <c r="O81" s="18">
        <v>1.1093048112340735E-10</v>
      </c>
      <c r="P81" s="18">
        <v>3.3625420575865659E-8</v>
      </c>
      <c r="Q81" s="28">
        <v>0.45454545454545453</v>
      </c>
      <c r="R81" s="60">
        <v>1069.8378889709188</v>
      </c>
      <c r="S81" s="57">
        <v>1.8719234095394926E-6</v>
      </c>
      <c r="U81" s="127">
        <v>4.9783726507988489E-10</v>
      </c>
      <c r="V81" s="127">
        <v>5.5962873521324655E-10</v>
      </c>
      <c r="W81" s="128">
        <v>7.1038453031653296E-10</v>
      </c>
      <c r="X81" s="128">
        <f t="shared" si="2"/>
        <v>5.8186981645572774E-10</v>
      </c>
      <c r="Y81" s="139">
        <f t="shared" si="3"/>
        <v>2.0882018395983795</v>
      </c>
      <c r="AA81" s="73"/>
      <c r="AB81" s="176"/>
      <c r="AC81" s="176"/>
      <c r="AD81" s="176"/>
      <c r="AJ81" s="135"/>
    </row>
    <row r="82" spans="2:36" x14ac:dyDescent="0.35">
      <c r="I82" s="109">
        <v>1.7958576551799998E-2</v>
      </c>
      <c r="J82" s="109">
        <v>9.1721223374344969E-10</v>
      </c>
      <c r="K82" s="109">
        <v>1.0359284696515391E-10</v>
      </c>
      <c r="L82" s="152">
        <v>6.1639251996385783E-10</v>
      </c>
      <c r="N82" s="18">
        <v>1.9051399377501501E-6</v>
      </c>
      <c r="O82" s="18">
        <v>1.0051655036892841E-10</v>
      </c>
      <c r="P82" s="18">
        <v>2.9535888489069367E-8</v>
      </c>
      <c r="Q82" s="28">
        <v>0.45454545454545453</v>
      </c>
      <c r="R82" s="60">
        <v>1079.4984646759992</v>
      </c>
      <c r="S82" s="57">
        <v>1.8719234095394926E-6</v>
      </c>
      <c r="U82" s="127">
        <v>5.0806908314456869E-10</v>
      </c>
      <c r="V82" s="127">
        <v>6.1639251996385783E-10</v>
      </c>
      <c r="W82" s="128">
        <v>8.0042486813903356E-10</v>
      </c>
      <c r="X82" s="128">
        <f t="shared" si="2"/>
        <v>6.3531974780282947E-10</v>
      </c>
      <c r="Y82" s="139">
        <f t="shared" si="3"/>
        <v>7.4046998984384844</v>
      </c>
      <c r="AA82" s="73"/>
      <c r="AB82" s="176"/>
      <c r="AC82" s="176"/>
      <c r="AD82" s="176"/>
      <c r="AJ82" s="135"/>
    </row>
    <row r="83" spans="2:36" x14ac:dyDescent="0.35">
      <c r="I83" s="109">
        <v>1.8138162317300002E-2</v>
      </c>
      <c r="J83" s="109">
        <v>8.399092628972044E-10</v>
      </c>
      <c r="K83" s="109">
        <v>9.9113513114504557E-11</v>
      </c>
      <c r="L83" s="152">
        <v>6.9065552271358427E-10</v>
      </c>
      <c r="N83" s="18">
        <v>2.0446992398031066E-6</v>
      </c>
      <c r="O83" s="18">
        <v>9.2360844852852474E-11</v>
      </c>
      <c r="P83" s="18">
        <v>2.6333157437289582E-8</v>
      </c>
      <c r="Q83" s="28">
        <v>0.22727272727272727</v>
      </c>
      <c r="R83" s="60">
        <v>1079.4984646759992</v>
      </c>
      <c r="S83" s="57">
        <v>1.8657523779439692E-6</v>
      </c>
      <c r="U83" s="127">
        <v>5.4047696418659712E-10</v>
      </c>
      <c r="V83" s="127">
        <v>6.9065552271358427E-10</v>
      </c>
      <c r="W83" s="128">
        <v>8.9813400294895618E-10</v>
      </c>
      <c r="X83" s="128">
        <f t="shared" si="2"/>
        <v>7.0498050314068043E-10</v>
      </c>
      <c r="Y83" s="139">
        <f t="shared" si="3"/>
        <v>1.8532897191237139</v>
      </c>
      <c r="AA83" s="73"/>
      <c r="AB83" s="176"/>
      <c r="AC83" s="176"/>
      <c r="AD83" s="176"/>
      <c r="AJ83" s="135"/>
    </row>
    <row r="84" spans="2:36" x14ac:dyDescent="0.35">
      <c r="I84" s="109">
        <v>1.8319543940500001E-2</v>
      </c>
      <c r="J84" s="109">
        <v>8.8625650767690664E-10</v>
      </c>
      <c r="K84" s="109">
        <v>1.0062953629202869E-10</v>
      </c>
      <c r="L84" s="152">
        <v>7.7810645779928036E-10</v>
      </c>
      <c r="N84" s="18">
        <v>2.1411167493014851E-6</v>
      </c>
      <c r="O84" s="18">
        <v>8.6317846783659503E-11</v>
      </c>
      <c r="P84" s="18">
        <v>2.3960082842590184E-8</v>
      </c>
      <c r="Q84" s="28">
        <v>0.27433079872934468</v>
      </c>
      <c r="R84" s="60">
        <v>1089.1590403810796</v>
      </c>
      <c r="S84" s="57">
        <v>1.8657523779439692E-6</v>
      </c>
      <c r="U84" s="127">
        <v>5.9327245316498081E-10</v>
      </c>
      <c r="V84" s="127">
        <v>7.7810645779928036E-10</v>
      </c>
      <c r="W84" s="128">
        <v>9.9745867744894987E-10</v>
      </c>
      <c r="X84" s="128">
        <f t="shared" si="2"/>
        <v>7.8673601155312293E-10</v>
      </c>
      <c r="Y84" s="139">
        <f t="shared" si="3"/>
        <v>0.97807942217069599</v>
      </c>
      <c r="AA84" s="73"/>
      <c r="AB84" s="176"/>
      <c r="AC84" s="176"/>
      <c r="AD84" s="176"/>
      <c r="AJ84" s="135"/>
    </row>
    <row r="85" spans="2:36" x14ac:dyDescent="0.35">
      <c r="I85" s="109">
        <v>1.8502739379900001E-2</v>
      </c>
      <c r="J85" s="109">
        <v>8.8051043504782662E-10</v>
      </c>
      <c r="K85" s="109">
        <v>9.7707557549165502E-11</v>
      </c>
      <c r="L85" s="152">
        <v>8.736182484774257E-10</v>
      </c>
      <c r="N85" s="18">
        <v>2.255607043348213E-6</v>
      </c>
      <c r="O85" s="18">
        <v>7.9721203172187416E-11</v>
      </c>
      <c r="P85" s="18">
        <v>2.1369592628059781E-8</v>
      </c>
      <c r="Q85" s="28">
        <v>0.27901782563242211</v>
      </c>
      <c r="R85" s="60">
        <v>1089.1590403810796</v>
      </c>
      <c r="S85" s="57">
        <v>1.8599245582292875E-6</v>
      </c>
      <c r="U85" s="127">
        <v>6.6356451473974301E-10</v>
      </c>
      <c r="V85" s="127">
        <v>8.736182484774257E-10</v>
      </c>
      <c r="W85" s="128">
        <v>1.0921328677639124E-9</v>
      </c>
      <c r="X85" s="128">
        <f t="shared" si="2"/>
        <v>8.7573346986462671E-10</v>
      </c>
      <c r="Y85" s="139">
        <f t="shared" si="3"/>
        <v>2.3902748264668424E-3</v>
      </c>
      <c r="AA85" s="73"/>
      <c r="AB85" s="176"/>
      <c r="AC85" s="176"/>
      <c r="AD85" s="176"/>
      <c r="AJ85" s="135"/>
    </row>
    <row r="86" spans="2:36" x14ac:dyDescent="0.35">
      <c r="I86" s="109">
        <v>1.8687766773700001E-2</v>
      </c>
      <c r="J86" s="109">
        <v>9.688211727448504E-10</v>
      </c>
      <c r="K86" s="109">
        <v>1.0174335789125112E-10</v>
      </c>
      <c r="L86" s="152">
        <v>9.7150320598310303E-10</v>
      </c>
      <c r="N86" s="18">
        <v>2.3700749442513368E-6</v>
      </c>
      <c r="O86" s="18">
        <v>7.3125849797489764E-11</v>
      </c>
      <c r="P86" s="18">
        <v>1.8779609087216092E-8</v>
      </c>
      <c r="Q86" s="28">
        <v>0.28889548286974742</v>
      </c>
      <c r="R86" s="60">
        <v>1098.8196160861601</v>
      </c>
      <c r="S86" s="57">
        <v>1.8599245582292875E-6</v>
      </c>
      <c r="U86" s="127">
        <v>7.4747174237127112E-10</v>
      </c>
      <c r="V86" s="127">
        <v>9.7150320598310303E-10</v>
      </c>
      <c r="W86" s="128">
        <v>1.1760319163093161E-9</v>
      </c>
      <c r="X86" s="128">
        <f t="shared" si="2"/>
        <v>9.6662751766169825E-10</v>
      </c>
      <c r="Y86" s="139">
        <f t="shared" si="3"/>
        <v>4.6486254127003652E-4</v>
      </c>
      <c r="AA86" s="73"/>
      <c r="AB86" s="176"/>
      <c r="AC86" s="176"/>
      <c r="AD86" s="176"/>
      <c r="AJ86" s="135"/>
    </row>
    <row r="87" spans="2:36" x14ac:dyDescent="0.35">
      <c r="I87" s="109">
        <v>1.8874644441399999E-2</v>
      </c>
      <c r="J87" s="109">
        <v>1.139323798942696E-9</v>
      </c>
      <c r="K87" s="109">
        <v>1.1190263631165454E-10</v>
      </c>
      <c r="L87" s="152">
        <v>1.0658096866593063E-9</v>
      </c>
      <c r="N87" s="18">
        <v>2.4844458017234639E-6</v>
      </c>
      <c r="O87" s="18">
        <v>6.6536087821909837E-11</v>
      </c>
      <c r="P87" s="18">
        <v>1.619182127886201E-8</v>
      </c>
      <c r="Q87" s="28">
        <v>0.30511585966628851</v>
      </c>
      <c r="R87" s="60">
        <v>1098.8196160861601</v>
      </c>
      <c r="S87" s="57">
        <v>1.8544834934614948E-6</v>
      </c>
      <c r="U87" s="127">
        <v>8.4029231296726514E-10</v>
      </c>
      <c r="V87" s="127">
        <v>1.0658096866593063E-9</v>
      </c>
      <c r="W87" s="128">
        <v>1.2435353221850862E-9</v>
      </c>
      <c r="X87" s="128">
        <f t="shared" si="2"/>
        <v>1.053861752117741E-9</v>
      </c>
      <c r="Y87" s="139">
        <f t="shared" si="3"/>
        <v>0.58326503646624672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1.9063390885799999E-2</v>
      </c>
      <c r="J88" s="109">
        <v>1.2454829805056557E-9</v>
      </c>
      <c r="K88" s="109">
        <v>1.1836689564972496E-10</v>
      </c>
      <c r="L88" s="152">
        <v>1.1506470073847323E-9</v>
      </c>
      <c r="N88" s="18">
        <v>2.5985365078718796E-6</v>
      </c>
      <c r="O88" s="18">
        <v>5.9962467463007486E-11</v>
      </c>
      <c r="P88" s="18">
        <v>1.3610372254670404E-8</v>
      </c>
      <c r="Q88" s="28">
        <v>0.32985484968757195</v>
      </c>
      <c r="R88" s="60">
        <v>1108.4801917912405</v>
      </c>
      <c r="S88" s="57">
        <v>1.8544834934614948E-6</v>
      </c>
      <c r="U88" s="127">
        <v>9.3672537287626414E-10</v>
      </c>
      <c r="V88" s="127">
        <v>1.1506470073847323E-9</v>
      </c>
      <c r="W88" s="128">
        <v>1.2898799991175533E-9</v>
      </c>
      <c r="X88" s="128">
        <f t="shared" si="2"/>
        <v>1.1319748466908204E-9</v>
      </c>
      <c r="Y88" s="139">
        <f t="shared" si="3"/>
        <v>0.919588330653341</v>
      </c>
      <c r="AA88" s="73"/>
      <c r="AB88" s="176"/>
      <c r="AC88" s="176"/>
      <c r="AD88" s="176"/>
      <c r="AJ88" s="135"/>
    </row>
    <row r="89" spans="2:36" x14ac:dyDescent="0.35">
      <c r="I89" s="109">
        <v>1.9254024794699998E-2</v>
      </c>
      <c r="J89" s="109">
        <v>1.4930965214915718E-9</v>
      </c>
      <c r="K89" s="109">
        <v>1.2748007865375844E-10</v>
      </c>
      <c r="L89" s="152">
        <v>1.2205236312482814E-9</v>
      </c>
      <c r="N89" s="18">
        <v>2.711966410663156E-6</v>
      </c>
      <c r="O89" s="18">
        <v>5.3426920936307296E-11</v>
      </c>
      <c r="P89" s="18">
        <v>1.1043874756672797E-8</v>
      </c>
      <c r="Q89" s="28">
        <v>0.36718140925644527</v>
      </c>
      <c r="R89" s="60">
        <v>1108.4801917912405</v>
      </c>
      <c r="S89" s="57">
        <v>1.8494613241297705E-6</v>
      </c>
      <c r="U89" s="127">
        <v>1.031134966986577E-9</v>
      </c>
      <c r="V89" s="127">
        <v>1.2205236312482814E-9</v>
      </c>
      <c r="W89" s="128">
        <v>1.3114847024956161E-9</v>
      </c>
      <c r="X89" s="128">
        <f t="shared" si="2"/>
        <v>1.195916732994689E-9</v>
      </c>
      <c r="Y89" s="139">
        <f t="shared" si="3"/>
        <v>5.4344286735149963</v>
      </c>
      <c r="AA89" s="73"/>
      <c r="AB89" s="176"/>
      <c r="AC89" s="176"/>
      <c r="AD89" s="176"/>
      <c r="AJ89" s="135"/>
    </row>
    <row r="90" spans="2:36" x14ac:dyDescent="0.35">
      <c r="I90" s="109">
        <v>1.9446565042599999E-2</v>
      </c>
      <c r="J90" s="109">
        <v>1.2539314636777489E-9</v>
      </c>
      <c r="K90" s="109">
        <v>1.1907015595906407E-10</v>
      </c>
      <c r="L90" s="152">
        <v>1.2706821212697685E-9</v>
      </c>
      <c r="N90" s="18">
        <v>2.8239927137034601E-6</v>
      </c>
      <c r="O90" s="18">
        <v>4.69722463071545E-11</v>
      </c>
      <c r="P90" s="18">
        <v>8.5091355090167258E-9</v>
      </c>
      <c r="Q90" s="28">
        <v>0.42522182801861985</v>
      </c>
      <c r="R90" s="60">
        <v>1118.1407674963209</v>
      </c>
      <c r="S90" s="57">
        <v>1.8494613241297705E-6</v>
      </c>
      <c r="U90" s="127">
        <v>1.1178453965262056E-9</v>
      </c>
      <c r="V90" s="127">
        <v>1.2706821212697685E-9</v>
      </c>
      <c r="W90" s="128">
        <v>1.3062255145033888E-9</v>
      </c>
      <c r="X90" s="128">
        <f t="shared" si="2"/>
        <v>1.2413587883922828E-9</v>
      </c>
      <c r="Y90" s="139">
        <f t="shared" si="3"/>
        <v>1.1149350112345824E-2</v>
      </c>
      <c r="AA90" s="73"/>
      <c r="AB90" s="176"/>
      <c r="AC90" s="176"/>
      <c r="AD90" s="176"/>
      <c r="AJ90" s="135"/>
    </row>
    <row r="91" spans="2:36" x14ac:dyDescent="0.35">
      <c r="I91" s="109">
        <v>1.9641030693100001E-2</v>
      </c>
      <c r="J91" s="109">
        <v>1.5209405009460825E-9</v>
      </c>
      <c r="K91" s="109">
        <v>1.2760250078759268E-10</v>
      </c>
      <c r="L91" s="152">
        <v>1.297413066392101E-9</v>
      </c>
      <c r="N91" s="18">
        <v>2.9331773360899732E-6</v>
      </c>
      <c r="O91" s="18">
        <v>4.0681302190590146E-11</v>
      </c>
      <c r="P91" s="18">
        <v>6.038692942470242E-9</v>
      </c>
      <c r="Q91" s="28">
        <v>0.52252270986663085</v>
      </c>
      <c r="R91" s="60">
        <v>1118.1407674963209</v>
      </c>
      <c r="S91" s="57">
        <v>1.844878548001624E-6</v>
      </c>
      <c r="U91" s="127">
        <v>1.1914549596649832E-9</v>
      </c>
      <c r="V91" s="127">
        <v>1.297413066392101E-9</v>
      </c>
      <c r="W91" s="128">
        <v>1.2736420299584922E-9</v>
      </c>
      <c r="X91" s="128">
        <f t="shared" si="2"/>
        <v>1.2649807806019193E-9</v>
      </c>
      <c r="Y91" s="139">
        <f t="shared" si="3"/>
        <v>4.0236934144934589</v>
      </c>
      <c r="AA91" s="73"/>
      <c r="AB91" s="176"/>
      <c r="AC91" s="176"/>
      <c r="AD91" s="176"/>
      <c r="AJ91" s="135"/>
    </row>
    <row r="92" spans="2:36" x14ac:dyDescent="0.35">
      <c r="I92" s="109">
        <v>1.9837441000000001E-2</v>
      </c>
      <c r="J92" s="109">
        <v>1.4752872251045582E-9</v>
      </c>
      <c r="K92" s="109">
        <v>1.2586917524571464E-10</v>
      </c>
      <c r="L92" s="152">
        <v>1.2983291934687359E-9</v>
      </c>
      <c r="N92" s="18">
        <v>3.0366355283788469E-6</v>
      </c>
      <c r="O92" s="18">
        <v>3.4720300614873111E-11</v>
      </c>
      <c r="P92" s="18">
        <v>3.6978182249334949E-9</v>
      </c>
      <c r="Q92" s="28">
        <v>0.71317718802348939</v>
      </c>
      <c r="R92" s="60">
        <v>1127.8013432014013</v>
      </c>
      <c r="S92" s="57">
        <v>1.844878548001624E-6</v>
      </c>
      <c r="U92" s="127">
        <v>1.2471533348407304E-9</v>
      </c>
      <c r="V92" s="127">
        <v>1.2983291934687359E-9</v>
      </c>
      <c r="W92" s="128">
        <v>1.2150546302247369E-9</v>
      </c>
      <c r="X92" s="128">
        <f t="shared" si="2"/>
        <v>1.2647165880007347E-9</v>
      </c>
      <c r="Y92" s="139">
        <f t="shared" si="3"/>
        <v>2.7987032316170581</v>
      </c>
      <c r="AA92" s="73"/>
      <c r="AB92" s="176"/>
      <c r="AC92" s="176"/>
      <c r="AD92" s="176"/>
      <c r="AJ92" s="135"/>
    </row>
    <row r="93" spans="2:36" x14ac:dyDescent="0.35">
      <c r="I93" s="109">
        <v>2.0035815410000001E-2</v>
      </c>
      <c r="J93" s="109">
        <v>1.4041487044378399E-9</v>
      </c>
      <c r="K93" s="109">
        <v>1.2447256632820511E-10</v>
      </c>
      <c r="L93" s="152">
        <v>1.2725804116918324E-9</v>
      </c>
      <c r="N93" s="18">
        <v>3.1280658500650879E-6</v>
      </c>
      <c r="O93" s="18">
        <v>2.9452314778447387E-11</v>
      </c>
      <c r="P93" s="18">
        <v>1.6290895557337576E-9</v>
      </c>
      <c r="Q93" s="28">
        <v>1.281588875373888</v>
      </c>
      <c r="R93" s="60">
        <v>1127.8013432014013</v>
      </c>
      <c r="S93" s="57">
        <v>1.8407443064016514E-6</v>
      </c>
      <c r="U93" s="127">
        <v>1.2810263992491112E-9</v>
      </c>
      <c r="V93" s="127">
        <v>1.2725804116918324E-9</v>
      </c>
      <c r="W93" s="128">
        <v>1.1335754735600307E-9</v>
      </c>
      <c r="X93" s="128">
        <f t="shared" si="2"/>
        <v>1.2399406740482017E-9</v>
      </c>
      <c r="Y93" s="139">
        <f t="shared" si="3"/>
        <v>1.7403696309553844</v>
      </c>
      <c r="AA93" s="73"/>
      <c r="AB93" s="176"/>
      <c r="AC93" s="176"/>
      <c r="AD93" s="176"/>
      <c r="AJ93" s="135"/>
    </row>
    <row r="94" spans="2:36" x14ac:dyDescent="0.35">
      <c r="I94" s="109">
        <v>2.0236173564099999E-2</v>
      </c>
      <c r="J94" s="109">
        <v>1.0800668554675241E-9</v>
      </c>
      <c r="K94" s="109">
        <v>1.0878924109314939E-10</v>
      </c>
      <c r="L94" s="152">
        <v>1.2209909311422069E-9</v>
      </c>
      <c r="N94" s="18">
        <v>3.1912672545492482E-6</v>
      </c>
      <c r="O94" s="18">
        <v>2.5810808355585536E-11</v>
      </c>
      <c r="P94" s="18">
        <v>1.990764596544104E-10</v>
      </c>
      <c r="Q94" s="28">
        <v>1.7210815880741237</v>
      </c>
      <c r="R94" s="60">
        <v>1137.4619189064817</v>
      </c>
      <c r="S94" s="57">
        <v>1.8407443064016514E-6</v>
      </c>
      <c r="U94" s="127">
        <v>1.2903310907609161E-9</v>
      </c>
      <c r="V94" s="127">
        <v>1.2209909311422069E-9</v>
      </c>
      <c r="W94" s="128">
        <v>1.0340000481393391E-9</v>
      </c>
      <c r="X94" s="128">
        <f t="shared" si="2"/>
        <v>1.191578250296167E-9</v>
      </c>
      <c r="Y94" s="139">
        <f t="shared" si="3"/>
        <v>1.050670653463901</v>
      </c>
      <c r="AA94" s="73"/>
      <c r="AB94" s="176"/>
      <c r="AC94" s="176"/>
      <c r="AD94" s="176"/>
      <c r="AJ94" s="135"/>
    </row>
    <row r="95" spans="2:36" x14ac:dyDescent="0.35">
      <c r="I95" s="109">
        <v>2.0438535299700002E-2</v>
      </c>
      <c r="J95" s="109">
        <v>1.1445438979928972E-9</v>
      </c>
      <c r="K95" s="109">
        <v>1.1277999086518089E-10</v>
      </c>
      <c r="L95" s="152">
        <v>1.1461012813523455E-9</v>
      </c>
      <c r="N95" s="18">
        <v>3.1999999999999999E-6</v>
      </c>
      <c r="O95" s="18">
        <v>2.5307649463664093E-11</v>
      </c>
      <c r="P95" s="18">
        <v>1.486857631694136E-12</v>
      </c>
      <c r="Q95" s="28">
        <v>9.0124969606539302</v>
      </c>
      <c r="R95" s="60">
        <v>1137.4619189064817</v>
      </c>
      <c r="S95" s="57">
        <v>1.8370571378382084E-6</v>
      </c>
      <c r="U95" s="127">
        <v>1.2737221984220869E-9</v>
      </c>
      <c r="V95" s="127">
        <v>1.1461012813523455E-9</v>
      </c>
      <c r="W95" s="128">
        <v>9.2257263919612833E-10</v>
      </c>
      <c r="X95" s="128">
        <f t="shared" si="2"/>
        <v>1.1221243500807266E-9</v>
      </c>
      <c r="Y95" s="139">
        <f t="shared" si="3"/>
        <v>3.951751179016319E-2</v>
      </c>
      <c r="AA95" s="73"/>
      <c r="AB95" s="176"/>
      <c r="AC95" s="176"/>
      <c r="AD95" s="176"/>
      <c r="AJ95" s="135"/>
    </row>
    <row r="96" spans="2:36" x14ac:dyDescent="0.35">
      <c r="I96" s="109">
        <v>2.06429206527E-2</v>
      </c>
      <c r="J96" s="109">
        <v>1.0367682771043979E-9</v>
      </c>
      <c r="K96" s="109">
        <v>1.0692577265246497E-10</v>
      </c>
      <c r="L96" s="152">
        <v>1.0521014453641281E-9</v>
      </c>
      <c r="N96" s="18">
        <v>3.1954501189971791E-6</v>
      </c>
      <c r="O96" s="18">
        <v>2.5394460155846639E-11</v>
      </c>
      <c r="P96" s="18">
        <v>1.4888560802367562E-12</v>
      </c>
      <c r="Q96" s="28">
        <v>1.7210815880741237</v>
      </c>
      <c r="R96" s="60">
        <v>1147.1224946115622</v>
      </c>
      <c r="S96" s="57">
        <v>1.8370571378382084E-6</v>
      </c>
      <c r="U96" s="127">
        <v>1.2314129701956886E-9</v>
      </c>
      <c r="V96" s="127">
        <v>1.0521014453641281E-9</v>
      </c>
      <c r="W96" s="128">
        <v>8.0662786200503981E-10</v>
      </c>
      <c r="X96" s="128">
        <f t="shared" si="2"/>
        <v>1.0355609307322462E-9</v>
      </c>
      <c r="Y96" s="139">
        <f t="shared" si="3"/>
        <v>1.2749670720167052E-4</v>
      </c>
      <c r="AA96" s="73"/>
      <c r="AB96" s="176"/>
      <c r="AC96" s="176"/>
      <c r="AD96" s="176"/>
      <c r="AJ96" s="135"/>
    </row>
    <row r="97" spans="9:36" x14ac:dyDescent="0.35">
      <c r="I97" s="109">
        <v>2.0849349859299999E-2</v>
      </c>
      <c r="J97" s="109">
        <v>8.9472842422144973E-10</v>
      </c>
      <c r="K97" s="109">
        <v>1.008543564673145E-10</v>
      </c>
      <c r="L97" s="152">
        <v>9.4464672946055908E-10</v>
      </c>
      <c r="N97" s="18">
        <v>3.1625213142775441E-6</v>
      </c>
      <c r="O97" s="18">
        <v>2.6022734242286083E-11</v>
      </c>
      <c r="P97" s="18">
        <v>1.5033194303246767E-12</v>
      </c>
      <c r="Q97" s="28">
        <v>1.281588875373888</v>
      </c>
      <c r="R97" s="60">
        <v>1147.1224946115622</v>
      </c>
      <c r="S97" s="57">
        <v>1.8338061150685997E-6</v>
      </c>
      <c r="U97" s="127">
        <v>1.1652525109857564E-9</v>
      </c>
      <c r="V97" s="127">
        <v>9.4464672946055908E-10</v>
      </c>
      <c r="W97" s="128">
        <v>6.9412109078933128E-10</v>
      </c>
      <c r="X97" s="128">
        <f t="shared" si="2"/>
        <v>9.3716676517405156E-10</v>
      </c>
      <c r="Y97" s="139">
        <f t="shared" si="3"/>
        <v>0.17706285806259547</v>
      </c>
      <c r="AA97" s="73"/>
      <c r="AB97" s="176"/>
      <c r="AC97" s="176"/>
      <c r="AD97" s="176"/>
      <c r="AJ97" s="135"/>
    </row>
    <row r="98" spans="9:36" x14ac:dyDescent="0.35">
      <c r="I98" s="109">
        <v>2.1057843357800001E-2</v>
      </c>
      <c r="J98" s="109">
        <v>8.396058844475201E-10</v>
      </c>
      <c r="K98" s="109">
        <v>9.584965396488032E-11</v>
      </c>
      <c r="L98" s="152">
        <v>8.3055548300292887E-10</v>
      </c>
      <c r="N98" s="18">
        <v>3.1148848537774594E-6</v>
      </c>
      <c r="O98" s="18">
        <v>2.6931627047740807E-11</v>
      </c>
      <c r="P98" s="18">
        <v>1.5242428379924715E-12</v>
      </c>
      <c r="Q98" s="28">
        <v>0.71317718802348939</v>
      </c>
      <c r="R98" s="60">
        <v>1156.7830703166426</v>
      </c>
      <c r="S98" s="57">
        <v>1.8338061150685997E-6</v>
      </c>
      <c r="U98" s="127">
        <v>1.0787054750572689E-9</v>
      </c>
      <c r="V98" s="127">
        <v>8.3055548300292887E-10</v>
      </c>
      <c r="W98" s="128">
        <v>5.9307228777616097E-10</v>
      </c>
      <c r="X98" s="128">
        <f t="shared" si="2"/>
        <v>8.3322218220982194E-10</v>
      </c>
      <c r="Y98" s="139">
        <f t="shared" si="3"/>
        <v>4.4357202083939746E-3</v>
      </c>
      <c r="AA98" s="73"/>
      <c r="AB98" s="176"/>
      <c r="AC98" s="176"/>
      <c r="AD98" s="176"/>
      <c r="AJ98" s="135"/>
    </row>
    <row r="99" spans="9:36" x14ac:dyDescent="0.35">
      <c r="I99" s="109">
        <v>2.12684217914E-2</v>
      </c>
      <c r="J99" s="109">
        <v>7.6137040950250814E-10</v>
      </c>
      <c r="K99" s="109">
        <v>9.7534857390577616E-11</v>
      </c>
      <c r="L99" s="152">
        <v>7.1739711082157003E-10</v>
      </c>
      <c r="N99" s="18">
        <v>3.060981706555778E-6</v>
      </c>
      <c r="O99" s="18">
        <v>2.7960086807068764E-11</v>
      </c>
      <c r="P99" s="18">
        <v>1.5479187684049419E-12</v>
      </c>
      <c r="Q99" s="28">
        <v>0.52252270986663085</v>
      </c>
      <c r="R99" s="60">
        <v>1156.7830703166426</v>
      </c>
      <c r="S99" s="57">
        <v>1.8309722653115561E-6</v>
      </c>
      <c r="U99" s="127">
        <v>9.7672383928329686E-10</v>
      </c>
      <c r="V99" s="127">
        <v>7.1739711082157003E-10</v>
      </c>
      <c r="W99" s="128">
        <v>5.1095911583582625E-10</v>
      </c>
      <c r="X99" s="128">
        <f t="shared" si="2"/>
        <v>7.3061929419056579E-10</v>
      </c>
      <c r="Y99" s="139">
        <f t="shared" si="3"/>
        <v>9.9403582589997305E-2</v>
      </c>
      <c r="AA99" s="73"/>
      <c r="AB99" s="176"/>
      <c r="AC99" s="176"/>
      <c r="AD99" s="176"/>
      <c r="AJ99" s="135"/>
    </row>
    <row r="100" spans="9:36" x14ac:dyDescent="0.35">
      <c r="I100" s="109">
        <v>2.1481106009300002E-2</v>
      </c>
      <c r="J100" s="109">
        <v>6.6295592341492146E-10</v>
      </c>
      <c r="K100" s="109">
        <v>8.7093947057414028E-11</v>
      </c>
      <c r="L100" s="152">
        <v>6.1298933674382019E-10</v>
      </c>
      <c r="N100" s="18">
        <v>3.0040950101556432E-6</v>
      </c>
      <c r="O100" s="18">
        <v>2.9045472004486553E-11</v>
      </c>
      <c r="P100" s="18">
        <v>1.5729051659491501E-12</v>
      </c>
      <c r="Q100" s="28">
        <v>0.42522182801861985</v>
      </c>
      <c r="R100" s="60">
        <v>1166.443646021723</v>
      </c>
      <c r="S100" s="57">
        <v>1.8309722653115561E-6</v>
      </c>
      <c r="U100" s="127">
        <v>8.6550672270532233E-10</v>
      </c>
      <c r="V100" s="127">
        <v>6.1298933674382019E-10</v>
      </c>
      <c r="W100" s="128">
        <v>4.541047611448808E-10</v>
      </c>
      <c r="X100" s="128">
        <f t="shared" si="2"/>
        <v>6.3639753933446092E-10</v>
      </c>
      <c r="Y100" s="139">
        <f t="shared" si="3"/>
        <v>9.2988094540978478E-2</v>
      </c>
      <c r="AA100" s="73"/>
      <c r="AB100" s="176"/>
      <c r="AC100" s="176"/>
      <c r="AD100" s="176"/>
      <c r="AJ100" s="135"/>
    </row>
    <row r="101" spans="9:36" x14ac:dyDescent="0.35">
      <c r="I101" s="109">
        <v>2.1695917069400002E-2</v>
      </c>
      <c r="J101" s="109">
        <v>7.6677308940281173E-10</v>
      </c>
      <c r="K101" s="109">
        <v>9.6278331156462947E-11</v>
      </c>
      <c r="L101" s="152">
        <v>5.2483434883021211E-10</v>
      </c>
      <c r="N101" s="18">
        <v>2.9457277588835406E-6</v>
      </c>
      <c r="O101" s="18">
        <v>3.015910585130201E-11</v>
      </c>
      <c r="P101" s="18">
        <v>1.5985418690121882E-12</v>
      </c>
      <c r="Q101" s="28">
        <v>0.36718140925644527</v>
      </c>
      <c r="R101" s="60">
        <v>1166.443646021723</v>
      </c>
      <c r="S101" s="57">
        <v>1.8285301660171354E-6</v>
      </c>
      <c r="U101" s="127">
        <v>7.5215217432412541E-10</v>
      </c>
      <c r="V101" s="127">
        <v>5.2483434883021211E-10</v>
      </c>
      <c r="W101" s="128">
        <v>4.2711205029653207E-10</v>
      </c>
      <c r="X101" s="128">
        <f t="shared" si="2"/>
        <v>5.5723323057027037E-10</v>
      </c>
      <c r="Y101" s="139">
        <f t="shared" si="3"/>
        <v>4.736703347265073</v>
      </c>
      <c r="AA101" s="73"/>
      <c r="AB101" s="176"/>
      <c r="AC101" s="176"/>
      <c r="AD101" s="176"/>
      <c r="AJ101" s="135"/>
    </row>
    <row r="102" spans="9:36" x14ac:dyDescent="0.35">
      <c r="I102" s="109">
        <v>2.19128762401E-2</v>
      </c>
      <c r="J102" s="109">
        <v>5.9315848749076347E-10</v>
      </c>
      <c r="K102" s="109">
        <v>8.3510647152202431E-11</v>
      </c>
      <c r="L102" s="152">
        <v>4.5953300416859669E-10</v>
      </c>
      <c r="N102" s="18">
        <v>2.8866292127536489E-6</v>
      </c>
      <c r="O102" s="18">
        <v>3.1286692637272319E-11</v>
      </c>
      <c r="P102" s="18">
        <v>1.6244997794083121E-12</v>
      </c>
      <c r="Q102" s="28">
        <v>0.32985484968757195</v>
      </c>
      <c r="R102" s="60">
        <v>1176.1042217268034</v>
      </c>
      <c r="S102" s="57">
        <v>1.8285301660171354E-6</v>
      </c>
      <c r="U102" s="127">
        <v>6.4421416286208578E-10</v>
      </c>
      <c r="V102" s="127">
        <v>4.5953300416859669E-10</v>
      </c>
      <c r="W102" s="128">
        <v>4.3239698037936417E-10</v>
      </c>
      <c r="X102" s="128">
        <f t="shared" si="2"/>
        <v>4.9891928789466085E-10</v>
      </c>
      <c r="Y102" s="139">
        <f t="shared" si="3"/>
        <v>1.2734429086587258</v>
      </c>
      <c r="AA102" s="73"/>
      <c r="AB102" s="176"/>
      <c r="AC102" s="176"/>
      <c r="AD102" s="176"/>
      <c r="AJ102" s="135"/>
    </row>
    <row r="103" spans="9:36" x14ac:dyDescent="0.35">
      <c r="I103" s="109">
        <v>2.21320050025E-2</v>
      </c>
      <c r="J103" s="109">
        <v>4.8474694394325686E-10</v>
      </c>
      <c r="K103" s="109">
        <v>7.7742707376714155E-11</v>
      </c>
      <c r="L103" s="152">
        <v>4.2222330039439324E-10</v>
      </c>
      <c r="N103" s="18">
        <v>2.8271863789471956E-6</v>
      </c>
      <c r="O103" s="18">
        <v>3.242084835361548E-11</v>
      </c>
      <c r="P103" s="18">
        <v>1.6506089116067295E-12</v>
      </c>
      <c r="Q103" s="28">
        <v>0.30511585966628851</v>
      </c>
      <c r="R103" s="60">
        <v>1176.1042217268034</v>
      </c>
      <c r="S103" s="57">
        <v>1.8264496100751286E-6</v>
      </c>
      <c r="U103" s="127">
        <v>5.4918789241542607E-10</v>
      </c>
      <c r="V103" s="127">
        <v>4.2222330039439324E-10</v>
      </c>
      <c r="W103" s="128">
        <v>4.6987097343392692E-10</v>
      </c>
      <c r="X103" s="128">
        <f t="shared" si="2"/>
        <v>4.6587636665953492E-10</v>
      </c>
      <c r="Y103" s="139">
        <f t="shared" si="3"/>
        <v>5.8918414415326095E-2</v>
      </c>
      <c r="AA103" s="73"/>
      <c r="AB103" s="176"/>
      <c r="AC103" s="176"/>
      <c r="AD103" s="176"/>
      <c r="AJ103" s="135"/>
    </row>
    <row r="104" spans="9:36" x14ac:dyDescent="0.35">
      <c r="I104" s="109">
        <v>2.2353325052600001E-2</v>
      </c>
      <c r="J104" s="109">
        <v>3.7146045584837142E-10</v>
      </c>
      <c r="K104" s="109">
        <v>7.0320982387480629E-11</v>
      </c>
      <c r="L104" s="152">
        <v>4.1609260845127434E-10</v>
      </c>
      <c r="N104" s="18">
        <v>2.7675975824314361E-6</v>
      </c>
      <c r="O104" s="18">
        <v>3.3557789005173389E-11</v>
      </c>
      <c r="P104" s="18">
        <v>1.6767821551442145E-12</v>
      </c>
      <c r="Q104" s="28">
        <v>0.28889548286974742</v>
      </c>
      <c r="R104" s="60">
        <v>1185.7647974318838</v>
      </c>
      <c r="S104" s="57">
        <v>1.8264496100751286E-6</v>
      </c>
      <c r="U104" s="127">
        <v>4.739559950166215E-10</v>
      </c>
      <c r="V104" s="127">
        <v>4.1609260845127434E-10</v>
      </c>
      <c r="W104" s="128">
        <v>5.3681201619163506E-10</v>
      </c>
      <c r="X104" s="128">
        <f t="shared" si="2"/>
        <v>4.6073830702770134E-10</v>
      </c>
      <c r="Y104" s="139">
        <f t="shared" si="3"/>
        <v>1.6118239290735794</v>
      </c>
      <c r="AA104" s="73"/>
      <c r="AB104" s="176"/>
      <c r="AC104" s="176"/>
      <c r="AD104" s="176"/>
      <c r="AJ104" s="135"/>
    </row>
    <row r="105" spans="9:36" x14ac:dyDescent="0.35">
      <c r="I105" s="109">
        <v>2.2576858303100002E-2</v>
      </c>
      <c r="J105" s="109">
        <v>4.3390982292065954E-10</v>
      </c>
      <c r="K105" s="109">
        <v>7.5217508589164079E-11</v>
      </c>
      <c r="L105" s="152">
        <v>4.4201184877555088E-10</v>
      </c>
      <c r="N105" s="18">
        <v>2.7079582249476933E-6</v>
      </c>
      <c r="O105" s="18">
        <v>3.4695694348472758E-11</v>
      </c>
      <c r="P105" s="18">
        <v>1.7029776066235592E-12</v>
      </c>
      <c r="Q105" s="28">
        <v>0.27901782563242211</v>
      </c>
      <c r="R105" s="60">
        <v>1185.7647974318838</v>
      </c>
      <c r="S105" s="57">
        <v>1.8246972434588747E-6</v>
      </c>
      <c r="U105" s="127">
        <v>4.2423590827131789E-10</v>
      </c>
      <c r="V105" s="127">
        <v>4.4201184877555088E-10</v>
      </c>
      <c r="W105" s="128">
        <v>6.2795103835428847E-10</v>
      </c>
      <c r="X105" s="128">
        <f t="shared" si="2"/>
        <v>4.8405266104417703E-10</v>
      </c>
      <c r="Y105" s="139">
        <f t="shared" si="3"/>
        <v>0.44440602155092046</v>
      </c>
      <c r="AA105" s="73"/>
      <c r="AB105" s="176"/>
      <c r="AC105" s="176"/>
      <c r="AD105" s="176"/>
      <c r="AJ105" s="135"/>
    </row>
    <row r="106" spans="9:36" x14ac:dyDescent="0.35">
      <c r="I106" s="109">
        <v>2.2802626886099998E-2</v>
      </c>
      <c r="J106" s="109">
        <v>5.5987944970379248E-10</v>
      </c>
      <c r="K106" s="109">
        <v>3.760997722833018E-11</v>
      </c>
      <c r="L106" s="152">
        <v>4.9833357665197592E-10</v>
      </c>
      <c r="N106" s="18">
        <v>2.648307200326823E-6</v>
      </c>
      <c r="O106" s="18">
        <v>3.5833822298088476E-11</v>
      </c>
      <c r="P106" s="18">
        <v>1.7291781826705961E-12</v>
      </c>
      <c r="Q106" s="28">
        <v>0.27433079872934468</v>
      </c>
      <c r="R106" s="60">
        <v>1195.4253731369643</v>
      </c>
      <c r="S106" s="57">
        <v>1.8246972434588747E-6</v>
      </c>
      <c r="U106" s="127">
        <v>4.0407365444242529E-10</v>
      </c>
      <c r="V106" s="127">
        <v>4.9833357665197592E-10</v>
      </c>
      <c r="W106" s="128">
        <v>7.3578266341097653E-10</v>
      </c>
      <c r="X106" s="128">
        <f t="shared" si="2"/>
        <v>5.3413086778933845E-10</v>
      </c>
      <c r="Y106" s="139">
        <f t="shared" si="3"/>
        <v>0.46870597532855485</v>
      </c>
      <c r="AA106" s="73"/>
      <c r="AB106" s="176"/>
      <c r="AC106" s="176"/>
      <c r="AD106" s="176"/>
      <c r="AJ106" s="135"/>
    </row>
    <row r="107" spans="9:36" x14ac:dyDescent="0.35">
      <c r="I107" s="109">
        <v>2.3030653155000001E-2</v>
      </c>
      <c r="J107" s="109">
        <v>6.5510504793590964E-10</v>
      </c>
      <c r="K107" s="109">
        <v>3.9484190981463055E-11</v>
      </c>
      <c r="L107" s="152">
        <v>5.8088512481398677E-10</v>
      </c>
      <c r="N107" s="18">
        <v>2.5886548756443814E-6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1195.4253731369643</v>
      </c>
      <c r="S107" s="57">
        <v>1.82323809334077E-6</v>
      </c>
      <c r="U107" s="127">
        <v>4.1543034372001009E-10</v>
      </c>
      <c r="V107" s="127">
        <v>5.8088512481398677E-10</v>
      </c>
      <c r="W107" s="128">
        <v>8.5109038482234835E-10</v>
      </c>
      <c r="X107" s="128">
        <f t="shared" si="2"/>
        <v>6.0707274454258296E-10</v>
      </c>
      <c r="Y107" s="139">
        <f t="shared" si="3"/>
        <v>1.4798590057828076</v>
      </c>
      <c r="AA107" s="73"/>
      <c r="AB107" s="176"/>
      <c r="AC107" s="176"/>
      <c r="AD107" s="176"/>
      <c r="AJ107" s="135"/>
    </row>
    <row r="108" spans="9:36" x14ac:dyDescent="0.35">
      <c r="I108" s="109">
        <v>2.32609596865E-2</v>
      </c>
      <c r="J108" s="109">
        <v>7.4489029439138684E-10</v>
      </c>
      <c r="K108" s="109">
        <v>4.2310334764692293E-11</v>
      </c>
      <c r="L108" s="152">
        <v>6.8317338236311831E-10</v>
      </c>
      <c r="N108" s="18">
        <v>2.529003851023511E-6</v>
      </c>
      <c r="O108" s="18">
        <v>3.8110103002198277E-11</v>
      </c>
      <c r="P108" s="18">
        <v>1.781579905791945E-12</v>
      </c>
      <c r="Q108" s="28">
        <v>0.27901782563242211</v>
      </c>
      <c r="R108" s="60">
        <v>1205.0859488420447</v>
      </c>
      <c r="S108" s="57">
        <v>1.82323809334077E-6</v>
      </c>
      <c r="U108" s="127">
        <v>4.5790446798331154E-10</v>
      </c>
      <c r="V108" s="127">
        <v>6.8317338236311831E-10</v>
      </c>
      <c r="W108" s="128">
        <v>9.6365687881803037E-10</v>
      </c>
      <c r="X108" s="128">
        <f t="shared" si="2"/>
        <v>6.9697702788189466E-10</v>
      </c>
      <c r="Y108" s="139">
        <f t="shared" si="3"/>
        <v>1.2823856132043765</v>
      </c>
      <c r="AA108" s="73"/>
      <c r="AB108" s="176"/>
      <c r="AC108" s="176"/>
      <c r="AD108" s="176"/>
      <c r="AJ108" s="135"/>
    </row>
    <row r="109" spans="9:36" x14ac:dyDescent="0.35">
      <c r="I109" s="109">
        <v>2.34935692834E-2</v>
      </c>
      <c r="J109" s="109">
        <v>8.2714618908325741E-10</v>
      </c>
      <c r="K109" s="109">
        <v>4.4422373560868929E-11</v>
      </c>
      <c r="L109" s="152">
        <v>7.9680070372376052E-10</v>
      </c>
      <c r="N109" s="18">
        <v>2.4693644935397682E-6</v>
      </c>
      <c r="O109" s="18">
        <v>3.9248008345497645E-11</v>
      </c>
      <c r="P109" s="18">
        <v>1.8077753572712897E-12</v>
      </c>
      <c r="Q109" s="28">
        <v>0.28889548286974742</v>
      </c>
      <c r="R109" s="60">
        <v>1205.0859488420447</v>
      </c>
      <c r="S109" s="57">
        <v>1.8220369236183875E-6</v>
      </c>
      <c r="U109" s="127">
        <v>5.2862538348805124E-10</v>
      </c>
      <c r="V109" s="127">
        <v>7.9680070372376052E-10</v>
      </c>
      <c r="W109" s="128">
        <v>1.06311200531191E-9</v>
      </c>
      <c r="X109" s="128">
        <f t="shared" si="2"/>
        <v>7.9633469906187061E-10</v>
      </c>
      <c r="Y109" s="139">
        <f t="shared" si="3"/>
        <v>0.48108507328258265</v>
      </c>
      <c r="AA109" s="73"/>
      <c r="AB109" s="176"/>
      <c r="AC109" s="176"/>
      <c r="AD109" s="176"/>
      <c r="AJ109" s="135"/>
    </row>
    <row r="110" spans="9:36" x14ac:dyDescent="0.35">
      <c r="I110" s="109">
        <v>2.37285049762E-2</v>
      </c>
      <c r="J110" s="109">
        <v>1.0118862396367433E-9</v>
      </c>
      <c r="K110" s="109">
        <v>4.9962787634559155E-11</v>
      </c>
      <c r="L110" s="152">
        <v>9.1207324103871416E-10</v>
      </c>
      <c r="N110" s="18">
        <v>2.4097756970240088E-6</v>
      </c>
      <c r="O110" s="18">
        <v>4.0384948997055555E-11</v>
      </c>
      <c r="P110" s="18">
        <v>1.8339486008087749E-12</v>
      </c>
      <c r="Q110" s="28">
        <v>0.30511585966628851</v>
      </c>
      <c r="R110" s="60">
        <v>1214.7465245471251</v>
      </c>
      <c r="S110" s="57">
        <v>1.8220369236183875E-6</v>
      </c>
      <c r="U110" s="127">
        <v>6.2234175611593789E-10</v>
      </c>
      <c r="V110" s="127">
        <v>9.1207324103871416E-10</v>
      </c>
      <c r="W110" s="128">
        <v>1.1398552856759276E-9</v>
      </c>
      <c r="X110" s="128">
        <f t="shared" si="2"/>
        <v>8.9658588096732347E-10</v>
      </c>
      <c r="Y110" s="139">
        <f t="shared" si="3"/>
        <v>5.3255932507404742</v>
      </c>
      <c r="AA110" s="73"/>
      <c r="AB110" s="176"/>
      <c r="AC110" s="176"/>
      <c r="AD110" s="176"/>
      <c r="AJ110" s="135"/>
    </row>
    <row r="111" spans="9:36" x14ac:dyDescent="0.35">
      <c r="I111" s="109">
        <v>2.3965790026000001E-2</v>
      </c>
      <c r="J111" s="109">
        <v>1.1595807879093114E-9</v>
      </c>
      <c r="K111" s="109">
        <v>5.3675531776643575E-11</v>
      </c>
      <c r="L111" s="152">
        <v>1.0187650691631093E-9</v>
      </c>
      <c r="N111" s="18">
        <v>2.350332863217555E-6</v>
      </c>
      <c r="O111" s="18">
        <v>4.1519104713398716E-11</v>
      </c>
      <c r="P111" s="18">
        <v>1.8600577330071923E-12</v>
      </c>
      <c r="Q111" s="28">
        <v>0.32985484968757195</v>
      </c>
      <c r="R111" s="60">
        <v>1214.7465245471251</v>
      </c>
      <c r="S111" s="57">
        <v>1.8210593754160494E-6</v>
      </c>
      <c r="U111" s="127">
        <v>7.3171404750235027E-10</v>
      </c>
      <c r="V111" s="127">
        <v>1.0187650691631093E-9</v>
      </c>
      <c r="W111" s="128">
        <v>1.1859773323649166E-9</v>
      </c>
      <c r="X111" s="128">
        <f t="shared" si="2"/>
        <v>9.8880537954837129E-10</v>
      </c>
      <c r="Y111" s="139">
        <f t="shared" si="3"/>
        <v>10.12273699714309</v>
      </c>
      <c r="AA111" s="73"/>
      <c r="AB111" s="176"/>
      <c r="AC111" s="176"/>
      <c r="AD111" s="176"/>
      <c r="AJ111" s="135"/>
    </row>
    <row r="112" spans="9:36" x14ac:dyDescent="0.35">
      <c r="I112" s="109">
        <v>2.42054479262E-2</v>
      </c>
      <c r="J112" s="109">
        <v>1.1670353620441723E-9</v>
      </c>
      <c r="K112" s="109">
        <v>5.265056547799582E-11</v>
      </c>
      <c r="L112" s="152">
        <v>1.1069850694865079E-9</v>
      </c>
      <c r="N112" s="18">
        <v>2.2912343170876637E-6</v>
      </c>
      <c r="O112" s="18">
        <v>4.2646691499369025E-11</v>
      </c>
      <c r="P112" s="18">
        <v>1.8860156434033162E-12</v>
      </c>
      <c r="Q112" s="28">
        <v>0.36718140925644527</v>
      </c>
      <c r="R112" s="60">
        <v>1224.4071002522055</v>
      </c>
      <c r="S112" s="57">
        <v>1.8210593754160494E-6</v>
      </c>
      <c r="U112" s="127">
        <v>8.4780350820291903E-10</v>
      </c>
      <c r="V112" s="127">
        <v>1.1069850694865079E-9</v>
      </c>
      <c r="W112" s="128">
        <v>1.1960968527808059E-9</v>
      </c>
      <c r="X112" s="128">
        <f t="shared" si="2"/>
        <v>1.0644676249891852E-9</v>
      </c>
      <c r="Y112" s="139">
        <f t="shared" si="3"/>
        <v>3.795032222432424</v>
      </c>
      <c r="AA112" s="73"/>
      <c r="AB112" s="176"/>
      <c r="AC112" s="176"/>
      <c r="AD112" s="176"/>
      <c r="AJ112" s="135"/>
    </row>
    <row r="113" spans="9:36" x14ac:dyDescent="0.35">
      <c r="I113" s="109">
        <v>2.4447502405500001E-2</v>
      </c>
      <c r="J113" s="109">
        <v>1.1657240320433307E-9</v>
      </c>
      <c r="K113" s="109">
        <v>5.3051502307492019E-11</v>
      </c>
      <c r="L113" s="152">
        <v>1.1680797799251023E-9</v>
      </c>
      <c r="N113" s="18">
        <v>2.2328670658155611E-6</v>
      </c>
      <c r="O113" s="18">
        <v>4.3760325346184482E-11</v>
      </c>
      <c r="P113" s="18">
        <v>1.9116523464663543E-12</v>
      </c>
      <c r="Q113" s="28">
        <v>0.42522182801861985</v>
      </c>
      <c r="R113" s="60">
        <v>1224.4071002522055</v>
      </c>
      <c r="S113" s="57">
        <v>1.820270583008488E-6</v>
      </c>
      <c r="U113" s="127">
        <v>9.6073288181303976E-10</v>
      </c>
      <c r="V113" s="127">
        <v>1.1680797799251023E-9</v>
      </c>
      <c r="W113" s="128">
        <v>1.1680276080721562E-9</v>
      </c>
      <c r="X113" s="128">
        <f t="shared" si="2"/>
        <v>1.1162300124338501E-9</v>
      </c>
      <c r="Y113" s="139">
        <f t="shared" si="3"/>
        <v>0.87038235608858794</v>
      </c>
      <c r="AA113" s="73"/>
      <c r="AB113" s="176"/>
      <c r="AC113" s="176"/>
      <c r="AD113" s="176"/>
      <c r="AJ113" s="135"/>
    </row>
    <row r="114" spans="9:36" x14ac:dyDescent="0.35">
      <c r="I114" s="109">
        <v>2.4691977429599998E-2</v>
      </c>
      <c r="J114" s="109">
        <v>1.1762627276190477E-9</v>
      </c>
      <c r="K114" s="109">
        <v>5.3169977670739629E-11</v>
      </c>
      <c r="L114" s="152">
        <v>1.1954953514444371E-9</v>
      </c>
      <c r="N114" s="18">
        <v>2.1759803694154263E-6</v>
      </c>
      <c r="O114" s="18">
        <v>4.4845710543602274E-11</v>
      </c>
      <c r="P114" s="18">
        <v>1.9366387440105623E-12</v>
      </c>
      <c r="Q114" s="28">
        <v>0.52252270986663085</v>
      </c>
      <c r="R114" s="60">
        <v>1234.0676759572859</v>
      </c>
      <c r="S114" s="57">
        <v>1.820270583008488E-6</v>
      </c>
      <c r="U114" s="127">
        <v>1.060477341024683E-9</v>
      </c>
      <c r="V114" s="127">
        <v>1.1954953514444371E-9</v>
      </c>
      <c r="W114" s="128">
        <v>1.1031943750108019E-9</v>
      </c>
      <c r="X114" s="128">
        <f t="shared" si="2"/>
        <v>1.1386656047310897E-9</v>
      </c>
      <c r="Y114" s="139">
        <f t="shared" si="3"/>
        <v>0.50000721130641201</v>
      </c>
      <c r="AA114" s="73"/>
      <c r="AB114" s="176"/>
      <c r="AC114" s="176"/>
      <c r="AD114" s="176"/>
      <c r="AJ114" s="135"/>
    </row>
    <row r="115" spans="9:36" x14ac:dyDescent="0.35">
      <c r="I115" s="109">
        <v>2.4938897203899999E-2</v>
      </c>
      <c r="J115" s="109">
        <v>1.2202105104081804E-9</v>
      </c>
      <c r="K115" s="109">
        <v>6.16721528762144E-11</v>
      </c>
      <c r="L115" s="152">
        <v>1.1855165005631762E-9</v>
      </c>
      <c r="N115" s="18">
        <v>2.122077222193745E-6</v>
      </c>
      <c r="O115" s="18">
        <v>4.5874170302930228E-11</v>
      </c>
      <c r="P115" s="18">
        <v>1.9603146744230327E-12</v>
      </c>
      <c r="Q115" s="28">
        <v>0.71317718802348939</v>
      </c>
      <c r="R115" s="60">
        <v>1234.0676759572859</v>
      </c>
      <c r="S115" s="57">
        <v>1.809906751957145E-6</v>
      </c>
      <c r="U115" s="127">
        <v>1.1377292334976783E-9</v>
      </c>
      <c r="V115" s="127">
        <v>1.1855165005631762E-9</v>
      </c>
      <c r="W115" s="128">
        <v>1.0067298652741721E-9</v>
      </c>
      <c r="X115" s="128">
        <f t="shared" si="2"/>
        <v>1.1288730249745507E-9</v>
      </c>
      <c r="Y115" s="139">
        <f t="shared" si="3"/>
        <v>2.1934103263477795</v>
      </c>
      <c r="AA115" s="73"/>
      <c r="AB115" s="176"/>
      <c r="AC115" s="176"/>
      <c r="AD115" s="176"/>
      <c r="AJ115" s="135"/>
    </row>
    <row r="116" spans="9:36" x14ac:dyDescent="0.35">
      <c r="I116" s="109">
        <v>2.51882861759E-2</v>
      </c>
      <c r="J116" s="109">
        <v>1.1285145448983186E-9</v>
      </c>
      <c r="K116" s="109">
        <v>5.7778598334217575E-11</v>
      </c>
      <c r="L116" s="152">
        <v>1.1378011449619943E-9</v>
      </c>
      <c r="N116" s="18">
        <v>2.0744407616936602E-6</v>
      </c>
      <c r="O116" s="18">
        <v>4.6783063108384949E-11</v>
      </c>
      <c r="P116" s="18">
        <v>1.9812380820908275E-12</v>
      </c>
      <c r="Q116" s="28">
        <v>1.281588875373888</v>
      </c>
      <c r="R116" s="60">
        <v>1243.7282516623663</v>
      </c>
      <c r="S116" s="57">
        <v>1.809906751957145E-6</v>
      </c>
      <c r="U116" s="127">
        <v>1.1847680940426155E-9</v>
      </c>
      <c r="V116" s="127">
        <v>1.1378011449619943E-9</v>
      </c>
      <c r="W116" s="128">
        <v>8.8720667961906593E-10</v>
      </c>
      <c r="X116" s="128">
        <f t="shared" si="2"/>
        <v>1.0868942658964175E-9</v>
      </c>
      <c r="Y116" s="139">
        <f t="shared" si="3"/>
        <v>0.51889079969819085</v>
      </c>
      <c r="AA116" s="73"/>
      <c r="AB116" s="176"/>
      <c r="AC116" s="176"/>
      <c r="AD116" s="176"/>
      <c r="AJ116" s="135"/>
    </row>
    <row r="117" spans="9:36" x14ac:dyDescent="0.35">
      <c r="I117" s="109">
        <v>2.5440169037600002E-2</v>
      </c>
      <c r="J117" s="109">
        <v>1.0686502714811519E-9</v>
      </c>
      <c r="K117" s="109">
        <v>5.8426651737408004E-11</v>
      </c>
      <c r="L117" s="152">
        <v>1.0556375657448216E-9</v>
      </c>
      <c r="N117" s="18">
        <v>2.0415119569740252E-6</v>
      </c>
      <c r="O117" s="18">
        <v>4.7411337194824393E-11</v>
      </c>
      <c r="P117" s="18">
        <v>1.995701432178748E-12</v>
      </c>
      <c r="Q117" s="28">
        <v>1.7210815880741237</v>
      </c>
      <c r="R117" s="60">
        <v>1243.7282516623663</v>
      </c>
      <c r="S117" s="57">
        <v>1.5772258908700549E-6</v>
      </c>
      <c r="U117" s="127">
        <v>1.1962591913805842E-9</v>
      </c>
      <c r="V117" s="127">
        <v>1.0556375657448216E-9</v>
      </c>
      <c r="W117" s="128">
        <v>7.5598981625974116E-10</v>
      </c>
      <c r="X117" s="128">
        <f t="shared" si="2"/>
        <v>1.0158810347824922E-9</v>
      </c>
      <c r="Y117" s="139">
        <f t="shared" si="3"/>
        <v>0.81571721287037269</v>
      </c>
      <c r="AA117" s="73"/>
      <c r="AB117" s="176"/>
      <c r="AC117" s="176"/>
      <c r="AD117" s="176"/>
      <c r="AJ117" s="135"/>
    </row>
    <row r="118" spans="9:36" x14ac:dyDescent="0.35">
      <c r="I118" s="109">
        <v>2.5694570728E-2</v>
      </c>
      <c r="J118" s="109">
        <v>9.333624077064713E-10</v>
      </c>
      <c r="K118" s="109">
        <v>5.4272256966102741E-11</v>
      </c>
      <c r="L118" s="152">
        <v>9.4586757704700113E-10</v>
      </c>
      <c r="N118" s="18">
        <v>2.0369620759712045E-6</v>
      </c>
      <c r="O118" s="18">
        <v>4.7498147887006942E-11</v>
      </c>
      <c r="P118" s="18">
        <v>1.9976998807213682E-12</v>
      </c>
      <c r="Q118" s="28">
        <v>100</v>
      </c>
      <c r="R118" s="60">
        <v>1248.5585395149064</v>
      </c>
      <c r="S118" s="57">
        <v>1.5772258908700549E-6</v>
      </c>
      <c r="U118" s="127">
        <v>1.1699008079446791E-9</v>
      </c>
      <c r="V118" s="127">
        <v>9.4586757704700113E-10</v>
      </c>
      <c r="W118" s="128">
        <v>6.2623465491339261E-10</v>
      </c>
      <c r="X118" s="128">
        <f t="shared" si="2"/>
        <v>9.2196765423801845E-10</v>
      </c>
      <c r="Y118" s="139">
        <f t="shared" si="3"/>
        <v>4.4081270362336333E-2</v>
      </c>
      <c r="AA118" s="73"/>
      <c r="AB118" s="176"/>
      <c r="AC118" s="176"/>
      <c r="AD118" s="176"/>
      <c r="AJ118" s="135"/>
    </row>
    <row r="119" spans="9:36" x14ac:dyDescent="0.35">
      <c r="I119" s="109">
        <v>2.5951516435299998E-2</v>
      </c>
      <c r="J119" s="109">
        <v>7.5903771762938761E-10</v>
      </c>
      <c r="K119" s="109">
        <v>4.5924339244004553E-11</v>
      </c>
      <c r="L119" s="152">
        <v>8.1844483337222296E-10</v>
      </c>
      <c r="R119" s="60">
        <v>1248.5585395149064</v>
      </c>
      <c r="S119" s="57">
        <v>1.3836276152180734E-6</v>
      </c>
      <c r="U119" s="127">
        <v>1.1068437700957982E-9</v>
      </c>
      <c r="V119" s="127">
        <v>8.1844483337222296E-10</v>
      </c>
      <c r="W119" s="128">
        <v>5.1159947761703589E-10</v>
      </c>
      <c r="X119" s="128">
        <f t="shared" si="2"/>
        <v>8.1383322861432005E-10</v>
      </c>
      <c r="Y119" s="139">
        <f t="shared" si="3"/>
        <v>1.4236529408521619</v>
      </c>
      <c r="AA119" s="73"/>
      <c r="AB119" s="176"/>
      <c r="AC119" s="176"/>
      <c r="AD119" s="176"/>
      <c r="AJ119" s="135"/>
    </row>
    <row r="120" spans="9:36" x14ac:dyDescent="0.35">
      <c r="I120" s="109">
        <v>2.6211031599700001E-2</v>
      </c>
      <c r="J120" s="109">
        <v>7.7029929968744422E-10</v>
      </c>
      <c r="K120" s="109">
        <v>4.7841853032926974E-11</v>
      </c>
      <c r="L120" s="152">
        <v>6.8563149204764927E-10</v>
      </c>
      <c r="R120" s="60">
        <v>1248.7858122421792</v>
      </c>
      <c r="S120" s="57">
        <v>1.3836276152180734E-6</v>
      </c>
      <c r="U120" s="127">
        <v>1.0118176674581502E-9</v>
      </c>
      <c r="V120" s="127">
        <v>6.8563149204764927E-10</v>
      </c>
      <c r="W120" s="128">
        <v>4.2478534410161422E-10</v>
      </c>
      <c r="X120" s="128">
        <f t="shared" si="2"/>
        <v>7.0196649891376578E-10</v>
      </c>
      <c r="Y120" s="139">
        <f t="shared" si="3"/>
        <v>2.0400577332161154</v>
      </c>
      <c r="AA120" s="73"/>
      <c r="AB120" s="176"/>
      <c r="AC120" s="176"/>
      <c r="AD120" s="176"/>
      <c r="AJ120" s="135"/>
    </row>
    <row r="121" spans="9:36" x14ac:dyDescent="0.35">
      <c r="I121" s="109">
        <v>2.6473141915700001E-2</v>
      </c>
      <c r="J121" s="109">
        <v>6.9627799959094862E-10</v>
      </c>
      <c r="K121" s="109">
        <v>4.5678700354302507E-11</v>
      </c>
      <c r="L121" s="152">
        <v>5.6087684053551447E-10</v>
      </c>
      <c r="R121" s="60">
        <v>1248.7858122421792</v>
      </c>
      <c r="S121" s="57">
        <v>1.3564822043956293E-6</v>
      </c>
      <c r="U121" s="127">
        <v>8.9291758949058058E-10</v>
      </c>
      <c r="V121" s="127">
        <v>5.6087684053551447E-10</v>
      </c>
      <c r="W121" s="128">
        <v>3.7605300265473054E-10</v>
      </c>
      <c r="X121" s="128">
        <f t="shared" si="2"/>
        <v>5.97681068304085E-10</v>
      </c>
      <c r="Y121" s="139">
        <f t="shared" si="3"/>
        <v>4.6590708918888026</v>
      </c>
      <c r="AA121" s="73"/>
      <c r="AB121" s="176"/>
      <c r="AC121" s="176"/>
      <c r="AD121" s="176"/>
      <c r="AJ121" s="135"/>
    </row>
    <row r="122" spans="9:36" x14ac:dyDescent="0.35">
      <c r="I122" s="109">
        <v>2.6737873334799999E-2</v>
      </c>
      <c r="J122" s="109">
        <v>5.6207269876059169E-10</v>
      </c>
      <c r="K122" s="109">
        <v>4.0879453230450987E-11</v>
      </c>
      <c r="L122" s="152">
        <v>4.5746428519738742E-10</v>
      </c>
      <c r="R122" s="60">
        <v>1249.2403576967247</v>
      </c>
      <c r="S122" s="57">
        <v>1.3564822043956293E-6</v>
      </c>
      <c r="U122" s="127">
        <v>7.6103316094213124E-10</v>
      </c>
      <c r="V122" s="127">
        <v>4.5746428519738742E-10</v>
      </c>
      <c r="W122" s="128">
        <v>3.7188960565005777E-10</v>
      </c>
      <c r="X122" s="128">
        <f t="shared" si="2"/>
        <v>5.1196283424674097E-10</v>
      </c>
      <c r="Y122" s="139">
        <f t="shared" si="3"/>
        <v>1.5025754894875902</v>
      </c>
      <c r="AA122" s="73"/>
      <c r="AB122" s="176"/>
      <c r="AC122" s="176"/>
      <c r="AD122" s="176"/>
      <c r="AJ122" s="135"/>
    </row>
    <row r="123" spans="9:36" x14ac:dyDescent="0.35">
      <c r="I123" s="109">
        <v>2.7005252068200002E-2</v>
      </c>
      <c r="J123" s="109">
        <v>5.5206370697909022E-10</v>
      </c>
      <c r="K123" s="109">
        <v>4.280485091644666E-11</v>
      </c>
      <c r="L123" s="152">
        <v>3.8705280036265804E-10</v>
      </c>
      <c r="R123" s="60">
        <v>1249.2403576967247</v>
      </c>
      <c r="S123" s="57">
        <v>1.320686415414171E-6</v>
      </c>
      <c r="U123" s="127">
        <v>6.2893705604015182E-10</v>
      </c>
      <c r="V123" s="127">
        <v>3.8705280036265804E-10</v>
      </c>
      <c r="W123" s="128">
        <v>4.1400144350217458E-10</v>
      </c>
      <c r="X123" s="128">
        <f t="shared" si="2"/>
        <v>4.542610250669106E-10</v>
      </c>
      <c r="Y123" s="139">
        <f t="shared" si="3"/>
        <v>5.2205414756906547</v>
      </c>
      <c r="AA123" s="73"/>
      <c r="AB123" s="176"/>
      <c r="AC123" s="176"/>
      <c r="AD123" s="176"/>
      <c r="AJ123" s="135"/>
    </row>
    <row r="124" spans="9:36" x14ac:dyDescent="0.35">
      <c r="I124" s="109">
        <v>2.7275304588799999E-2</v>
      </c>
      <c r="J124" s="109">
        <v>5.7241470922296254E-10</v>
      </c>
      <c r="K124" s="109">
        <v>4.3501766771194945E-11</v>
      </c>
      <c r="L124" s="152">
        <v>3.5826917456653796E-10</v>
      </c>
      <c r="R124" s="60">
        <v>1249.6949031512702</v>
      </c>
      <c r="S124" s="57">
        <v>1.320686415414171E-6</v>
      </c>
      <c r="U124" s="127">
        <v>5.100903416990691E-10</v>
      </c>
      <c r="V124" s="127">
        <v>3.5826917456653796E-10</v>
      </c>
      <c r="W124" s="128">
        <v>4.9878919572512309E-10</v>
      </c>
      <c r="X124" s="128">
        <f t="shared" si="2"/>
        <v>4.31354471639317E-10</v>
      </c>
      <c r="Y124" s="139">
        <f t="shared" si="3"/>
        <v>10.514664761389582</v>
      </c>
      <c r="AA124" s="73"/>
      <c r="AB124" s="176"/>
      <c r="AC124" s="176"/>
      <c r="AD124" s="176"/>
      <c r="AJ124" s="135"/>
    </row>
    <row r="125" spans="9:36" x14ac:dyDescent="0.35">
      <c r="I125" s="109">
        <v>2.7548057634700002E-2</v>
      </c>
      <c r="J125" s="109">
        <v>4.5706870025669648E-10</v>
      </c>
      <c r="K125" s="109">
        <v>3.9908555730743878E-11</v>
      </c>
      <c r="L125" s="152">
        <v>3.7552198513679589E-10</v>
      </c>
      <c r="R125" s="60">
        <v>1249.6949031512702</v>
      </c>
      <c r="S125" s="57">
        <v>1.2857202900078521E-6</v>
      </c>
      <c r="U125" s="127">
        <v>4.17262663051381E-10</v>
      </c>
      <c r="V125" s="127">
        <v>3.7552198513679589E-10</v>
      </c>
      <c r="W125" s="128">
        <v>6.1741912315576604E-10</v>
      </c>
      <c r="X125" s="128">
        <f t="shared" si="2"/>
        <v>4.4643143912018473E-10</v>
      </c>
      <c r="Y125" s="139">
        <f t="shared" si="3"/>
        <v>7.104403500094543E-2</v>
      </c>
      <c r="AA125" s="73"/>
      <c r="AB125" s="176"/>
      <c r="AC125" s="176"/>
      <c r="AD125" s="176"/>
      <c r="AJ125" s="135"/>
    </row>
    <row r="126" spans="9:36" x14ac:dyDescent="0.35">
      <c r="I126" s="109">
        <v>2.78235382111E-2</v>
      </c>
      <c r="J126" s="109">
        <v>5.2479452154842087E-10</v>
      </c>
      <c r="K126" s="109">
        <v>4.4220301012099988E-11</v>
      </c>
      <c r="L126" s="152">
        <v>4.3820246924690395E-10</v>
      </c>
      <c r="R126" s="60">
        <v>1250.1494486058157</v>
      </c>
      <c r="S126" s="57">
        <v>1.2857202900078521E-6</v>
      </c>
      <c r="U126" s="127">
        <v>3.6110090539091834E-10</v>
      </c>
      <c r="V126" s="127">
        <v>4.3820246924690395E-10</v>
      </c>
      <c r="W126" s="128">
        <v>7.5654055681079416E-10</v>
      </c>
      <c r="X126" s="128">
        <f t="shared" si="2"/>
        <v>4.9851160017388005E-10</v>
      </c>
      <c r="Y126" s="139">
        <f t="shared" si="3"/>
        <v>0.35326766082710764</v>
      </c>
      <c r="AA126" s="73"/>
      <c r="AB126" s="176"/>
      <c r="AC126" s="176"/>
      <c r="AD126" s="176"/>
      <c r="AJ126" s="135"/>
    </row>
    <row r="127" spans="9:36" x14ac:dyDescent="0.35">
      <c r="I127" s="109">
        <v>2.81017735932E-2</v>
      </c>
      <c r="J127" s="109">
        <v>6.2760821811160539E-10</v>
      </c>
      <c r="K127" s="109">
        <v>4.6473303495846861E-11</v>
      </c>
      <c r="L127" s="152">
        <v>5.4040919293077847E-10</v>
      </c>
      <c r="R127" s="60">
        <v>1250.1494486058157</v>
      </c>
      <c r="S127" s="57">
        <v>1.251980040330452E-6</v>
      </c>
      <c r="U127" s="127">
        <v>3.4880449210550746E-10</v>
      </c>
      <c r="V127" s="127">
        <v>5.4040919293077847E-10</v>
      </c>
      <c r="W127" s="128">
        <v>8.9962344565167158E-10</v>
      </c>
      <c r="X127" s="128">
        <f t="shared" si="2"/>
        <v>5.8231158090468396E-10</v>
      </c>
      <c r="Y127" s="139">
        <f t="shared" si="3"/>
        <v>0.95000268608914884</v>
      </c>
      <c r="AA127" s="73"/>
      <c r="AB127" s="176"/>
      <c r="AC127" s="176"/>
      <c r="AD127" s="176"/>
      <c r="AJ127" s="135"/>
    </row>
    <row r="128" spans="9:36" x14ac:dyDescent="0.35">
      <c r="I128" s="109">
        <v>2.8382791329100002E-2</v>
      </c>
      <c r="J128" s="109">
        <v>7.1057512532398332E-10</v>
      </c>
      <c r="K128" s="109">
        <v>5.1280272356847136E-11</v>
      </c>
      <c r="L128" s="152">
        <v>6.7128373102434702E-10</v>
      </c>
      <c r="R128" s="60">
        <v>1250.6039940603612</v>
      </c>
      <c r="S128" s="57">
        <v>1.251980040330452E-6</v>
      </c>
      <c r="U128" s="127">
        <v>3.8307344452061734E-10</v>
      </c>
      <c r="V128" s="127">
        <v>6.7128373102434702E-10</v>
      </c>
      <c r="W128" s="128">
        <v>1.028808168615402E-9</v>
      </c>
      <c r="X128" s="128">
        <f t="shared" si="2"/>
        <v>6.8861226879617835E-10</v>
      </c>
      <c r="Y128" s="139">
        <f t="shared" si="3"/>
        <v>0.18343280316938043</v>
      </c>
      <c r="AA128" s="73"/>
      <c r="AB128" s="176"/>
      <c r="AC128" s="176"/>
      <c r="AD128" s="176"/>
      <c r="AJ128" s="135"/>
    </row>
    <row r="129" spans="9:36" x14ac:dyDescent="0.35">
      <c r="I129" s="109">
        <v>2.86666192424E-2</v>
      </c>
      <c r="J129" s="109">
        <v>7.2823563092233661E-10</v>
      </c>
      <c r="K129" s="109">
        <v>5.4091205177163271E-11</v>
      </c>
      <c r="L129" s="152">
        <v>8.1597774659805214E-10</v>
      </c>
      <c r="R129" s="60">
        <v>1250.6039940603612</v>
      </c>
      <c r="S129" s="57">
        <v>1.2198511773246E-6</v>
      </c>
      <c r="U129" s="127">
        <v>4.6148295176001504E-10</v>
      </c>
      <c r="V129" s="127">
        <v>8.1597774659805214E-10</v>
      </c>
      <c r="W129" s="128">
        <v>1.1270828196552637E-9</v>
      </c>
      <c r="X129" s="128">
        <f t="shared" si="2"/>
        <v>8.051303161528458E-10</v>
      </c>
      <c r="Y129" s="139">
        <f t="shared" si="3"/>
        <v>2.0208744415126159</v>
      </c>
      <c r="AA129" s="73"/>
      <c r="AB129" s="176"/>
      <c r="AC129" s="176"/>
      <c r="AD129" s="176"/>
      <c r="AJ129" s="135"/>
    </row>
    <row r="130" spans="9:36" x14ac:dyDescent="0.35">
      <c r="I130" s="109">
        <v>2.89532854348E-2</v>
      </c>
      <c r="J130" s="109">
        <v>1.0760975311442642E-9</v>
      </c>
      <c r="K130" s="109">
        <v>6.692938448599985E-11</v>
      </c>
      <c r="L130" s="152">
        <v>9.5719481133026049E-10</v>
      </c>
      <c r="R130" s="60">
        <v>1251.0585395149067</v>
      </c>
      <c r="S130" s="57">
        <v>1.2198511773246E-6</v>
      </c>
      <c r="U130" s="127">
        <v>5.7640430743489313E-10</v>
      </c>
      <c r="V130" s="127">
        <v>9.5719481133026049E-10</v>
      </c>
      <c r="W130" s="127">
        <v>1.1805402806935222E-9</v>
      </c>
      <c r="X130" s="128">
        <f t="shared" si="2"/>
        <v>9.1783355269723416E-10</v>
      </c>
      <c r="Y130" s="139">
        <f t="shared" si="3"/>
        <v>5.5915278917362956</v>
      </c>
      <c r="AA130" s="73"/>
      <c r="AB130" s="176"/>
      <c r="AC130" s="176"/>
      <c r="AD130" s="176"/>
      <c r="AJ130" s="135"/>
    </row>
    <row r="131" spans="9:36" x14ac:dyDescent="0.35">
      <c r="I131" s="109">
        <v>2.9242818289200001E-2</v>
      </c>
      <c r="J131" s="49">
        <v>1.0108309924098598E-9</v>
      </c>
      <c r="K131" s="49">
        <v>6.4409611285918548E-11</v>
      </c>
      <c r="L131" s="152">
        <v>1.0771716184399846E-9</v>
      </c>
      <c r="R131" s="60">
        <v>1251.0585395149067</v>
      </c>
      <c r="S131" s="57">
        <v>1.1897245271730236E-6</v>
      </c>
      <c r="U131" s="127">
        <v>7.1553853079180464E-10</v>
      </c>
      <c r="V131" s="127">
        <v>1.0771716184399846E-9</v>
      </c>
      <c r="W131" s="127">
        <v>1.1804275738032891E-9</v>
      </c>
      <c r="X131" s="128">
        <f t="shared" ref="X131:X194" si="4">(U131+2*V131+W131)/4</f>
        <v>1.0125773353687659E-9</v>
      </c>
      <c r="Y131" s="139">
        <f t="shared" ref="Y131:Y194" si="5">(J131-X131)*(J131-X131)/(K131*K131)</f>
        <v>7.3511912000280371E-4</v>
      </c>
      <c r="AA131" s="73"/>
      <c r="AB131" s="176"/>
      <c r="AC131" s="176"/>
      <c r="AD131" s="176"/>
      <c r="AJ131" s="135"/>
    </row>
    <row r="132" spans="9:36" x14ac:dyDescent="0.35">
      <c r="I132" s="109">
        <v>2.9535246472099999E-2</v>
      </c>
      <c r="J132" s="49">
        <v>8.6733143579060705E-10</v>
      </c>
      <c r="K132" s="49">
        <v>5.9534984981783003E-11</v>
      </c>
      <c r="L132" s="152">
        <v>1.1598921842325645E-9</v>
      </c>
      <c r="R132" s="60">
        <v>1251.5130849694522</v>
      </c>
      <c r="S132" s="57">
        <v>1.1897245271730236E-6</v>
      </c>
      <c r="U132" s="127">
        <v>8.6306056700668935E-10</v>
      </c>
      <c r="V132" s="127">
        <v>1.1598921842325645E-9</v>
      </c>
      <c r="W132" s="127">
        <v>1.1246912328398532E-9</v>
      </c>
      <c r="X132" s="128">
        <f t="shared" si="4"/>
        <v>1.0768840420779179E-9</v>
      </c>
      <c r="Y132" s="139">
        <f t="shared" si="5"/>
        <v>12.389153578124974</v>
      </c>
      <c r="AA132" s="73"/>
      <c r="AB132" s="176"/>
      <c r="AC132" s="176"/>
      <c r="AD132" s="176"/>
      <c r="AJ132" s="135"/>
    </row>
    <row r="133" spans="9:36" x14ac:dyDescent="0.35">
      <c r="I133" s="109">
        <v>2.9830598936799999E-2</v>
      </c>
      <c r="J133" s="49">
        <v>1.0557885500922251E-9</v>
      </c>
      <c r="K133" s="49">
        <v>6.635291307641279E-11</v>
      </c>
      <c r="L133" s="152">
        <v>1.1932744302043573E-9</v>
      </c>
      <c r="R133" s="60">
        <v>1251.5130849694522</v>
      </c>
      <c r="S133" s="57">
        <v>1.162032181136784E-6</v>
      </c>
      <c r="U133" s="127">
        <v>1.0012957119248519E-9</v>
      </c>
      <c r="V133" s="127">
        <v>1.1932744302043573E-9</v>
      </c>
      <c r="W133" s="127">
        <v>1.0187512122930378E-9</v>
      </c>
      <c r="X133" s="128">
        <f t="shared" si="4"/>
        <v>1.1016489461566512E-9</v>
      </c>
      <c r="Y133" s="139">
        <f t="shared" si="5"/>
        <v>0.47770040944497716</v>
      </c>
      <c r="AA133" s="73"/>
      <c r="AB133" s="176"/>
      <c r="AC133" s="176"/>
      <c r="AD133" s="176"/>
      <c r="AJ133" s="135"/>
    </row>
    <row r="134" spans="9:36" x14ac:dyDescent="0.35">
      <c r="I134" s="109">
        <v>3.01289049262E-2</v>
      </c>
      <c r="J134" s="49">
        <v>1.0609119550762896E-9</v>
      </c>
      <c r="K134" s="49">
        <v>6.6976662379810922E-11</v>
      </c>
      <c r="L134" s="152">
        <v>1.1710398002331711E-9</v>
      </c>
      <c r="R134" s="60">
        <v>1251.9676304239977</v>
      </c>
      <c r="S134" s="57">
        <v>1.162032181136784E-6</v>
      </c>
      <c r="U134" s="127">
        <v>1.112774309883167E-9</v>
      </c>
      <c r="V134" s="127">
        <v>1.1710398002331711E-9</v>
      </c>
      <c r="W134" s="127">
        <v>8.7530591637686658E-10</v>
      </c>
      <c r="X134" s="128">
        <f t="shared" si="4"/>
        <v>1.0825399566815938E-9</v>
      </c>
      <c r="Y134" s="139">
        <f t="shared" si="5"/>
        <v>0.10427634081194227</v>
      </c>
      <c r="AA134" s="73"/>
      <c r="AB134" s="176"/>
      <c r="AC134" s="176"/>
      <c r="AD134" s="176"/>
      <c r="AJ134" s="135"/>
    </row>
    <row r="135" spans="9:36" x14ac:dyDescent="0.35">
      <c r="I135" s="109">
        <v>3.0430193975400002E-2</v>
      </c>
      <c r="J135" s="49">
        <v>1.0254935951913694E-9</v>
      </c>
      <c r="K135" s="49">
        <v>6.8594383034231263E-11</v>
      </c>
      <c r="L135" s="152">
        <v>1.093980821032098E-9</v>
      </c>
      <c r="R135" s="60">
        <v>1251.9676304239977</v>
      </c>
      <c r="S135" s="57">
        <v>1.1373099452928084E-6</v>
      </c>
      <c r="U135" s="127">
        <v>1.1824449050987492E-9</v>
      </c>
      <c r="V135" s="127">
        <v>1.093980821032098E-9</v>
      </c>
      <c r="W135" s="127">
        <v>7.1308152253616278E-10</v>
      </c>
      <c r="X135" s="128">
        <f t="shared" si="4"/>
        <v>1.020872017424777E-9</v>
      </c>
      <c r="Y135" s="139">
        <f t="shared" si="5"/>
        <v>4.5394519349184941E-3</v>
      </c>
      <c r="AA135" s="73"/>
      <c r="AB135" s="176"/>
      <c r="AC135" s="176"/>
      <c r="AD135" s="176"/>
      <c r="AJ135" s="135"/>
    </row>
    <row r="136" spans="9:36" x14ac:dyDescent="0.35">
      <c r="I136" s="109">
        <v>3.07344959152E-2</v>
      </c>
      <c r="J136" s="49">
        <v>1.0701998629047993E-9</v>
      </c>
      <c r="K136" s="49">
        <v>7.2272304864348589E-11</v>
      </c>
      <c r="L136" s="152">
        <v>9.7038434011210656E-10</v>
      </c>
      <c r="R136" s="60">
        <v>1252.4221758785432</v>
      </c>
      <c r="S136" s="57">
        <v>1.1373099452928084E-6</v>
      </c>
      <c r="U136" s="127">
        <v>1.1997788717168124E-9</v>
      </c>
      <c r="V136" s="127">
        <v>9.7038434011210656E-10</v>
      </c>
      <c r="W136" s="127">
        <v>5.5458246058891233E-10</v>
      </c>
      <c r="X136" s="128">
        <f t="shared" si="4"/>
        <v>9.2378250313248444E-10</v>
      </c>
      <c r="Y136" s="139">
        <f t="shared" si="5"/>
        <v>4.1043211181267427</v>
      </c>
      <c r="AA136" s="73"/>
      <c r="AB136" s="176"/>
      <c r="AC136" s="176"/>
      <c r="AD136" s="176"/>
      <c r="AJ136" s="135"/>
    </row>
    <row r="137" spans="9:36" x14ac:dyDescent="0.35">
      <c r="I137" s="109">
        <v>3.1041840874300002E-2</v>
      </c>
      <c r="J137" s="49">
        <v>8.5931995221381146E-10</v>
      </c>
      <c r="K137" s="49">
        <v>6.2666430991307899E-11</v>
      </c>
      <c r="L137" s="152">
        <v>8.1545182167845871E-10</v>
      </c>
      <c r="R137" s="60">
        <v>1252.4221758785432</v>
      </c>
      <c r="S137" s="57">
        <v>1.1162906076860634E-6</v>
      </c>
      <c r="U137" s="127">
        <v>1.1604794599846161E-9</v>
      </c>
      <c r="V137" s="127">
        <v>8.1545182167845871E-10</v>
      </c>
      <c r="W137" s="127">
        <v>4.2306104048007502E-10</v>
      </c>
      <c r="X137" s="128">
        <f t="shared" si="4"/>
        <v>8.0361103595540213E-10</v>
      </c>
      <c r="Y137" s="139">
        <f t="shared" si="5"/>
        <v>0.79027728170331313</v>
      </c>
      <c r="AA137" s="73"/>
      <c r="AB137" s="176"/>
      <c r="AC137" s="176"/>
      <c r="AD137" s="176"/>
      <c r="AJ137" s="135"/>
    </row>
    <row r="138" spans="9:36" x14ac:dyDescent="0.35">
      <c r="I138" s="109">
        <v>3.1352259283100002E-2</v>
      </c>
      <c r="J138" s="49">
        <v>7.0732696610355582E-10</v>
      </c>
      <c r="K138" s="49">
        <v>5.7739785606660741E-11</v>
      </c>
      <c r="L138" s="152">
        <v>6.4967953729290048E-10</v>
      </c>
      <c r="R138" s="60">
        <v>1252.8767213330887</v>
      </c>
      <c r="S138" s="57">
        <v>1.1162906076860634E-6</v>
      </c>
      <c r="U138" s="127">
        <v>1.0675222579828183E-9</v>
      </c>
      <c r="V138" s="127">
        <v>6.4967953729290048E-10</v>
      </c>
      <c r="W138" s="127">
        <v>3.3907905363009012E-10</v>
      </c>
      <c r="X138" s="128">
        <f t="shared" si="4"/>
        <v>6.764900965496774E-10</v>
      </c>
      <c r="Y138" s="139">
        <f t="shared" si="5"/>
        <v>0.28522673680401006</v>
      </c>
      <c r="AA138" s="73"/>
      <c r="AB138" s="176"/>
      <c r="AC138" s="176"/>
      <c r="AD138" s="176"/>
      <c r="AJ138" s="135"/>
    </row>
    <row r="139" spans="9:36" x14ac:dyDescent="0.35">
      <c r="I139" s="109">
        <v>3.1665781875900002E-2</v>
      </c>
      <c r="J139" s="49">
        <v>7.2421641414331175E-10</v>
      </c>
      <c r="K139" s="49">
        <v>6.1461892791904481E-11</v>
      </c>
      <c r="L139" s="152">
        <v>4.9631062361761194E-10</v>
      </c>
      <c r="R139" s="60">
        <v>1252.8767213330887</v>
      </c>
      <c r="S139" s="57">
        <v>1.1000259682102457E-6</v>
      </c>
      <c r="U139" s="127">
        <v>9.3130704970093611E-10</v>
      </c>
      <c r="V139" s="127">
        <v>4.9631062361761194E-10</v>
      </c>
      <c r="W139" s="127">
        <v>3.1715363237242102E-10</v>
      </c>
      <c r="X139" s="128">
        <f t="shared" si="4"/>
        <v>5.6027048232714531E-10</v>
      </c>
      <c r="Y139" s="139">
        <f t="shared" si="5"/>
        <v>7.1152379336321445</v>
      </c>
      <c r="AA139" s="73"/>
      <c r="AB139" s="176"/>
      <c r="AC139" s="176"/>
      <c r="AD139" s="176"/>
      <c r="AJ139" s="135"/>
    </row>
    <row r="140" spans="9:36" x14ac:dyDescent="0.35">
      <c r="I140" s="109">
        <v>3.19824396947E-2</v>
      </c>
      <c r="J140" s="49">
        <v>5.9119499857605494E-10</v>
      </c>
      <c r="K140" s="49">
        <v>5.4816752540315885E-11</v>
      </c>
      <c r="L140" s="152">
        <v>3.7812959289327135E-10</v>
      </c>
      <c r="R140" s="60">
        <v>1253.3312667876341</v>
      </c>
      <c r="S140" s="57">
        <v>1.1000259682102457E-6</v>
      </c>
      <c r="U140" s="127">
        <v>7.6879388106497871E-10</v>
      </c>
      <c r="V140" s="127">
        <v>3.7812959289327135E-10</v>
      </c>
      <c r="W140" s="127">
        <v>3.6303467140980926E-10</v>
      </c>
      <c r="X140" s="128">
        <f t="shared" si="4"/>
        <v>4.7202193456533275E-10</v>
      </c>
      <c r="Y140" s="139">
        <f t="shared" si="5"/>
        <v>4.726390536120781</v>
      </c>
      <c r="AA140" s="73"/>
      <c r="AB140" s="176"/>
      <c r="AC140" s="176"/>
      <c r="AD140" s="176"/>
      <c r="AJ140" s="135"/>
    </row>
    <row r="141" spans="9:36" x14ac:dyDescent="0.35">
      <c r="I141" s="109">
        <v>3.2302264091600003E-2</v>
      </c>
      <c r="J141" s="49">
        <v>4.9556796334559122E-10</v>
      </c>
      <c r="K141" s="49">
        <v>5.3578451949234306E-11</v>
      </c>
      <c r="L141" s="152">
        <v>3.1401275353395487E-10</v>
      </c>
      <c r="R141" s="60">
        <v>1253.3312667876341</v>
      </c>
      <c r="S141" s="57">
        <v>1.0900239240088537E-6</v>
      </c>
      <c r="U141" s="127">
        <v>6.0162405185073192E-10</v>
      </c>
      <c r="V141" s="127">
        <v>3.1401275353395487E-10</v>
      </c>
      <c r="W141" s="127">
        <v>4.7212962394511299E-10</v>
      </c>
      <c r="X141" s="128">
        <f t="shared" si="4"/>
        <v>4.2544479571593866E-10</v>
      </c>
      <c r="Y141" s="139">
        <f t="shared" si="5"/>
        <v>1.7129422810873804</v>
      </c>
      <c r="AA141" s="73"/>
      <c r="AB141" s="176"/>
      <c r="AC141" s="176"/>
      <c r="AD141" s="176"/>
      <c r="AJ141" s="135"/>
    </row>
    <row r="142" spans="9:36" x14ac:dyDescent="0.35">
      <c r="I142" s="109">
        <v>3.2625286732500001E-2</v>
      </c>
      <c r="J142" s="49">
        <v>4.1993140262776752E-10</v>
      </c>
      <c r="K142" s="49">
        <v>5.3208434455271573E-11</v>
      </c>
      <c r="L142" s="152">
        <v>3.1574637209667019E-10</v>
      </c>
      <c r="R142" s="60">
        <v>1253.7858122421796</v>
      </c>
      <c r="S142" s="57">
        <v>1.0900239240088537E-6</v>
      </c>
      <c r="U142" s="127">
        <v>4.5337768412375017E-10</v>
      </c>
      <c r="V142" s="127">
        <v>3.1574637209667019E-10</v>
      </c>
      <c r="W142" s="127">
        <v>6.2946489748074072E-10</v>
      </c>
      <c r="X142" s="128">
        <f t="shared" si="4"/>
        <v>4.2858383144945782E-10</v>
      </c>
      <c r="Y142" s="139">
        <f t="shared" si="5"/>
        <v>2.6443266916199727E-2</v>
      </c>
      <c r="AA142" s="73"/>
      <c r="AB142" s="176"/>
      <c r="AC142" s="176"/>
      <c r="AD142" s="176"/>
      <c r="AJ142" s="135"/>
    </row>
    <row r="143" spans="9:36" x14ac:dyDescent="0.35">
      <c r="I143" s="109">
        <v>3.29515395999E-2</v>
      </c>
      <c r="J143" s="49">
        <v>7.0735294227772899E-10</v>
      </c>
      <c r="K143" s="49">
        <v>6.9298753893429954E-11</v>
      </c>
      <c r="L143" s="152">
        <v>3.8565176369867989E-10</v>
      </c>
      <c r="R143" s="60">
        <v>1253.7858122421796</v>
      </c>
      <c r="S143" s="57">
        <v>1.0883705745929531E-6</v>
      </c>
      <c r="U143" s="127">
        <v>3.4627378105359382E-10</v>
      </c>
      <c r="V143" s="127">
        <v>3.8565176369867989E-10</v>
      </c>
      <c r="W143" s="127">
        <v>8.1136030526898434E-10</v>
      </c>
      <c r="X143" s="128">
        <f t="shared" si="4"/>
        <v>4.822344034299845E-10</v>
      </c>
      <c r="Y143" s="139">
        <f t="shared" si="5"/>
        <v>10.552896333192532</v>
      </c>
      <c r="AA143" s="73"/>
      <c r="AB143" s="176"/>
      <c r="AC143" s="176"/>
      <c r="AD143" s="176"/>
      <c r="AJ143" s="135"/>
    </row>
    <row r="144" spans="9:36" x14ac:dyDescent="0.35">
      <c r="I144" s="109">
        <v>3.3281054995899999E-2</v>
      </c>
      <c r="J144" s="49">
        <v>6.549899553434294E-10</v>
      </c>
      <c r="K144" s="49">
        <v>6.5926515863747072E-11</v>
      </c>
      <c r="L144" s="152">
        <v>5.1549513480283971E-10</v>
      </c>
      <c r="O144" s="30"/>
      <c r="R144" s="60">
        <v>1254.2403576967251</v>
      </c>
      <c r="S144" s="57">
        <v>1.0883705745929531E-6</v>
      </c>
      <c r="U144" s="127">
        <v>2.9775052677362019E-10</v>
      </c>
      <c r="V144" s="127">
        <v>5.1549513480283971E-10</v>
      </c>
      <c r="W144" s="127">
        <v>9.8872057927485354E-10</v>
      </c>
      <c r="X144" s="128">
        <f t="shared" si="4"/>
        <v>5.7936534391353826E-10</v>
      </c>
      <c r="Y144" s="139">
        <f t="shared" si="5"/>
        <v>1.315849026697598</v>
      </c>
      <c r="AA144" s="73"/>
      <c r="AB144" s="176"/>
      <c r="AC144" s="176"/>
      <c r="AD144" s="176"/>
      <c r="AJ144" s="135"/>
    </row>
    <row r="145" spans="9:36" x14ac:dyDescent="0.35">
      <c r="I145" s="109">
        <v>3.3613865545800002E-2</v>
      </c>
      <c r="J145" s="49">
        <v>6.71556770656115E-10</v>
      </c>
      <c r="K145" s="49">
        <v>6.8457065216972144E-11</v>
      </c>
      <c r="L145" s="152">
        <v>6.8700666979708137E-10</v>
      </c>
      <c r="R145" s="60">
        <v>1254.2403576967251</v>
      </c>
      <c r="S145" s="57">
        <v>1.0977899652167233E-6</v>
      </c>
      <c r="U145" s="127">
        <v>3.1744514497072262E-10</v>
      </c>
      <c r="V145" s="127">
        <v>6.8700666979708137E-10</v>
      </c>
      <c r="W145" s="127">
        <v>1.1315562201611599E-9</v>
      </c>
      <c r="X145" s="128">
        <f t="shared" si="4"/>
        <v>7.0575367618151129E-10</v>
      </c>
      <c r="Y145" s="139">
        <f t="shared" si="5"/>
        <v>0.24953821462672052</v>
      </c>
      <c r="AA145" s="73"/>
      <c r="AB145" s="176"/>
      <c r="AC145" s="176"/>
      <c r="AD145" s="176"/>
      <c r="AJ145" s="135"/>
    </row>
    <row r="146" spans="9:36" x14ac:dyDescent="0.35">
      <c r="I146" s="109">
        <v>3.3950004201300003E-2</v>
      </c>
      <c r="J146" s="49">
        <v>8.1128668921877727E-10</v>
      </c>
      <c r="K146" s="49">
        <v>7.604555685961234E-11</v>
      </c>
      <c r="L146" s="152">
        <v>8.7410199043235147E-10</v>
      </c>
      <c r="R146" s="60">
        <v>1254.6949031512706</v>
      </c>
      <c r="S146" s="57">
        <v>1.0977899652167233E-6</v>
      </c>
      <c r="U146" s="127">
        <v>4.0509972895028564E-10</v>
      </c>
      <c r="V146" s="127">
        <v>8.7410199043235147E-10</v>
      </c>
      <c r="W146" s="127">
        <v>1.2140831102479691E-9</v>
      </c>
      <c r="X146" s="128">
        <f t="shared" si="4"/>
        <v>8.4184670501573944E-10</v>
      </c>
      <c r="Y146" s="139">
        <f t="shared" si="5"/>
        <v>0.16149514096199191</v>
      </c>
      <c r="AA146" s="73"/>
      <c r="AB146" s="176"/>
      <c r="AC146" s="176"/>
      <c r="AD146" s="176"/>
      <c r="AJ146" s="135"/>
    </row>
    <row r="147" spans="9:36" x14ac:dyDescent="0.35">
      <c r="I147" s="109">
        <v>3.4289504243299997E-2</v>
      </c>
      <c r="J147" s="49">
        <v>8.6192899244357403E-10</v>
      </c>
      <c r="K147" s="49">
        <v>7.9255167970890657E-11</v>
      </c>
      <c r="L147" s="152">
        <v>1.0466199537540294E-9</v>
      </c>
      <c r="R147" s="60">
        <v>1254.6949031512706</v>
      </c>
      <c r="S147" s="57">
        <v>1.1215829068723965E-6</v>
      </c>
      <c r="U147" s="127">
        <v>5.4983772413309418E-10</v>
      </c>
      <c r="V147" s="127">
        <v>1.0466199537540294E-9</v>
      </c>
      <c r="W147" s="127">
        <v>1.2195654181685903E-9</v>
      </c>
      <c r="X147" s="128">
        <f t="shared" si="4"/>
        <v>9.6566076245243586E-10</v>
      </c>
      <c r="Y147" s="139">
        <f t="shared" si="5"/>
        <v>1.713043516311451</v>
      </c>
      <c r="AA147" s="73"/>
      <c r="AB147" s="176"/>
      <c r="AC147" s="176"/>
      <c r="AD147" s="176"/>
      <c r="AJ147" s="135"/>
    </row>
    <row r="148" spans="9:36" x14ac:dyDescent="0.35">
      <c r="I148" s="109">
        <v>3.46323992857E-2</v>
      </c>
      <c r="J148" s="49">
        <v>8.8311965842117461E-10</v>
      </c>
      <c r="K148" s="49">
        <v>7.9869386734729103E-11</v>
      </c>
      <c r="L148" s="152">
        <v>1.1751061055741661E-9</v>
      </c>
      <c r="R148" s="60">
        <v>1255.1494486058161</v>
      </c>
      <c r="S148" s="57">
        <v>1.1215829068723965E-6</v>
      </c>
      <c r="U148" s="127">
        <v>7.3108552865450186E-10</v>
      </c>
      <c r="V148" s="127">
        <v>1.1751061055741661E-9</v>
      </c>
      <c r="W148" s="127">
        <v>1.1440027827025301E-9</v>
      </c>
      <c r="X148" s="128">
        <f t="shared" si="4"/>
        <v>1.056325130626341E-9</v>
      </c>
      <c r="Y148" s="139">
        <f t="shared" si="5"/>
        <v>4.7028650658970266</v>
      </c>
      <c r="AA148" s="73"/>
      <c r="AB148" s="176"/>
      <c r="AC148" s="176"/>
      <c r="AD148" s="176"/>
      <c r="AJ148" s="135"/>
    </row>
    <row r="149" spans="9:36" x14ac:dyDescent="0.35">
      <c r="I149" s="109">
        <v>3.49787232786E-2</v>
      </c>
      <c r="J149" s="49">
        <v>1.1019851916151656E-9</v>
      </c>
      <c r="K149" s="49">
        <v>9.3738269138390735E-11</v>
      </c>
      <c r="L149" s="152">
        <v>1.2359292561701133E-9</v>
      </c>
      <c r="R149" s="60">
        <v>1255.1494486058161</v>
      </c>
      <c r="S149" s="57">
        <v>1.1633906270129019E-6</v>
      </c>
      <c r="U149" s="127">
        <v>9.2117199028406283E-10</v>
      </c>
      <c r="V149" s="127">
        <v>1.2359292561701133E-9</v>
      </c>
      <c r="W149" s="127">
        <v>9.9785189706477938E-10</v>
      </c>
      <c r="X149" s="128">
        <f t="shared" si="4"/>
        <v>1.0977205999222674E-9</v>
      </c>
      <c r="Y149" s="139">
        <f t="shared" si="5"/>
        <v>2.0697650683712053E-3</v>
      </c>
      <c r="AA149" s="73"/>
      <c r="AB149" s="176"/>
      <c r="AC149" s="176"/>
      <c r="AD149" s="176"/>
      <c r="AJ149" s="135"/>
    </row>
    <row r="150" spans="9:36" x14ac:dyDescent="0.35">
      <c r="I150" s="109">
        <v>3.5328510511399999E-2</v>
      </c>
      <c r="J150" s="49">
        <v>8.7471795208366447E-10</v>
      </c>
      <c r="K150" s="49">
        <v>8.6661325913551668E-11</v>
      </c>
      <c r="L150" s="152">
        <v>1.2158672271857396E-9</v>
      </c>
      <c r="R150" s="60">
        <v>1255.6039940603616</v>
      </c>
      <c r="S150" s="57">
        <v>1.1633906270129019E-6</v>
      </c>
      <c r="U150" s="127">
        <v>1.089357670839019E-9</v>
      </c>
      <c r="V150" s="127">
        <v>1.2158672271857396E-9</v>
      </c>
      <c r="W150" s="127">
        <v>8.0522653679754422E-10</v>
      </c>
      <c r="X150" s="128">
        <f t="shared" si="4"/>
        <v>1.0815796655020105E-9</v>
      </c>
      <c r="Y150" s="139">
        <f t="shared" si="5"/>
        <v>5.6978311649341125</v>
      </c>
      <c r="AA150" s="73"/>
      <c r="AB150" s="176"/>
      <c r="AC150" s="176"/>
      <c r="AD150" s="176"/>
      <c r="AJ150" s="135"/>
    </row>
    <row r="151" spans="9:36" x14ac:dyDescent="0.35">
      <c r="I151" s="109">
        <v>3.5681795616499999E-2</v>
      </c>
      <c r="J151" s="49">
        <v>9.2216167008568572E-10</v>
      </c>
      <c r="K151" s="49">
        <v>8.37593155367974E-11</v>
      </c>
      <c r="L151" s="152">
        <v>1.1152772488880456E-9</v>
      </c>
      <c r="R151" s="60">
        <v>1255.6039940603616</v>
      </c>
      <c r="S151" s="57">
        <v>1.226756592699635E-6</v>
      </c>
      <c r="U151" s="127">
        <v>1.2067687714451642E-9</v>
      </c>
      <c r="V151" s="127">
        <v>1.1152772488880456E-9</v>
      </c>
      <c r="W151" s="127">
        <v>6.0042376343368316E-10</v>
      </c>
      <c r="X151" s="128">
        <f t="shared" si="4"/>
        <v>1.0094367581637347E-9</v>
      </c>
      <c r="Y151" s="139">
        <f t="shared" si="5"/>
        <v>1.0857112853769779</v>
      </c>
      <c r="AA151" s="73"/>
      <c r="AB151" s="176"/>
      <c r="AC151" s="176"/>
      <c r="AD151" s="176"/>
      <c r="AJ151" s="135"/>
    </row>
    <row r="152" spans="9:36" x14ac:dyDescent="0.35">
      <c r="I152" s="109">
        <v>3.6038613572599999E-2</v>
      </c>
      <c r="J152" s="49">
        <v>8.5300967620978425E-10</v>
      </c>
      <c r="K152" s="49">
        <v>8.2152204279681528E-11</v>
      </c>
      <c r="L152" s="152">
        <v>9.491032069538714E-10</v>
      </c>
      <c r="R152" s="60">
        <v>1256.0585395149071</v>
      </c>
      <c r="S152" s="57">
        <v>1.226756592699635E-6</v>
      </c>
      <c r="U152" s="127">
        <v>1.2514856131911107E-9</v>
      </c>
      <c r="V152" s="127">
        <v>9.491032069538714E-10</v>
      </c>
      <c r="W152" s="127">
        <v>4.2212861922445714E-10</v>
      </c>
      <c r="X152" s="128">
        <f t="shared" si="4"/>
        <v>8.9295516158082759E-10</v>
      </c>
      <c r="Y152" s="139">
        <f t="shared" si="5"/>
        <v>0.2364269412392373</v>
      </c>
      <c r="AA152" s="73"/>
      <c r="AB152" s="176"/>
      <c r="AC152" s="176"/>
      <c r="AD152" s="176"/>
      <c r="AJ152" s="135"/>
    </row>
    <row r="153" spans="9:36" x14ac:dyDescent="0.35">
      <c r="I153" s="109">
        <v>3.63989997084E-2</v>
      </c>
      <c r="J153" s="49">
        <v>8.7391720714158557E-10</v>
      </c>
      <c r="K153" s="49">
        <v>8.2440628968237411E-11</v>
      </c>
      <c r="L153" s="152">
        <v>7.4527087335941621E-10</v>
      </c>
      <c r="R153" s="60">
        <v>1256.0585395149071</v>
      </c>
      <c r="S153" s="57">
        <v>1.3145117359092174E-6</v>
      </c>
      <c r="U153" s="127">
        <v>1.2129089804135675E-9</v>
      </c>
      <c r="V153" s="127">
        <v>7.4527087335941621E-10</v>
      </c>
      <c r="W153" s="127">
        <v>3.0617099765278707E-10</v>
      </c>
      <c r="X153" s="128">
        <f t="shared" si="4"/>
        <v>7.5240543119629683E-10</v>
      </c>
      <c r="Y153" s="139">
        <f t="shared" si="5"/>
        <v>2.1724717792626986</v>
      </c>
      <c r="AA153" s="73"/>
      <c r="AB153" s="176"/>
      <c r="AC153" s="176"/>
      <c r="AD153" s="176"/>
      <c r="AJ153" s="135"/>
    </row>
    <row r="154" spans="9:36" x14ac:dyDescent="0.35">
      <c r="I154" s="109">
        <v>3.6762989705399998E-2</v>
      </c>
      <c r="J154" s="49">
        <v>7.6091880676303657E-10</v>
      </c>
      <c r="K154" s="49">
        <v>7.9307697749117643E-11</v>
      </c>
      <c r="L154" s="152">
        <v>5.4055241394169702E-10</v>
      </c>
      <c r="R154" s="60">
        <v>1256.5130849694526</v>
      </c>
      <c r="S154" s="57">
        <v>1.3145117359092174E-6</v>
      </c>
      <c r="U154" s="127">
        <v>1.0948476438381144E-9</v>
      </c>
      <c r="V154" s="127">
        <v>5.4055241394169702E-10</v>
      </c>
      <c r="W154" s="127">
        <v>2.7793268794022926E-10</v>
      </c>
      <c r="X154" s="128">
        <f t="shared" si="4"/>
        <v>6.1347128991543444E-10</v>
      </c>
      <c r="Y154" s="139">
        <f t="shared" si="5"/>
        <v>3.4565611191385921</v>
      </c>
      <c r="AA154" s="73"/>
      <c r="AB154" s="176"/>
      <c r="AC154" s="176"/>
      <c r="AD154" s="176"/>
      <c r="AJ154" s="135"/>
    </row>
    <row r="155" spans="9:36" x14ac:dyDescent="0.35">
      <c r="I155" s="109">
        <v>3.7130619602499998E-2</v>
      </c>
      <c r="J155" s="49">
        <v>5.725680965128631E-10</v>
      </c>
      <c r="K155" s="49">
        <v>7.4954298391559058E-11</v>
      </c>
      <c r="L155" s="152">
        <v>3.73720318956321E-10</v>
      </c>
      <c r="R155" s="60">
        <v>1256.5130849694526</v>
      </c>
      <c r="S155" s="57">
        <v>1.4280745227964353E-6</v>
      </c>
      <c r="U155" s="127">
        <v>9.1472658242933213E-10</v>
      </c>
      <c r="V155" s="127">
        <v>3.73720318956321E-10</v>
      </c>
      <c r="W155" s="127">
        <v>3.471038660609274E-10</v>
      </c>
      <c r="X155" s="128">
        <f t="shared" si="4"/>
        <v>5.0231777160072536E-10</v>
      </c>
      <c r="Y155" s="139">
        <f t="shared" si="5"/>
        <v>0.87842277610995623</v>
      </c>
      <c r="AA155" s="73"/>
      <c r="AB155" s="176"/>
      <c r="AC155" s="176"/>
      <c r="AD155" s="176"/>
      <c r="AJ155" s="135"/>
    </row>
    <row r="156" spans="9:36" x14ac:dyDescent="0.35">
      <c r="I156" s="109">
        <v>3.7501925798500001E-2</v>
      </c>
      <c r="J156" s="49">
        <v>5.5333914324141442E-10</v>
      </c>
      <c r="K156" s="49">
        <v>7.0476838713953696E-11</v>
      </c>
      <c r="L156" s="152">
        <v>2.7902896288829714E-10</v>
      </c>
      <c r="R156" s="60">
        <v>1256.9676304239981</v>
      </c>
      <c r="S156" s="57">
        <v>1.4280745227964353E-6</v>
      </c>
      <c r="U156" s="127">
        <v>7.0336745846260437E-10</v>
      </c>
      <c r="V156" s="127">
        <v>2.7902896288829714E-10</v>
      </c>
      <c r="W156" s="127">
        <v>5.0343357411126504E-10</v>
      </c>
      <c r="X156" s="128">
        <f t="shared" si="4"/>
        <v>4.4121473958761592E-10</v>
      </c>
      <c r="Y156" s="139">
        <f t="shared" si="5"/>
        <v>2.5310892650789429</v>
      </c>
      <c r="AA156" s="73"/>
      <c r="AB156" s="176"/>
      <c r="AC156" s="176"/>
      <c r="AD156" s="176"/>
      <c r="AJ156" s="135"/>
    </row>
    <row r="157" spans="9:36" x14ac:dyDescent="0.35">
      <c r="I157" s="109">
        <v>3.7876945056500001E-2</v>
      </c>
      <c r="J157" s="49">
        <v>6.280257605374732E-10</v>
      </c>
      <c r="K157" s="49">
        <v>7.6824934188740751E-11</v>
      </c>
      <c r="L157" s="152">
        <v>2.7827567451334769E-10</v>
      </c>
      <c r="R157" s="60">
        <v>1256.9676304239981</v>
      </c>
      <c r="S157" s="57">
        <v>1.5668167345799604E-6</v>
      </c>
      <c r="U157" s="127">
        <v>4.9898796948564752E-10</v>
      </c>
      <c r="V157" s="127">
        <v>2.7827567451334769E-10</v>
      </c>
      <c r="W157" s="127">
        <v>7.1792348042347959E-10</v>
      </c>
      <c r="X157" s="128">
        <f t="shared" si="4"/>
        <v>4.4336569973395562E-10</v>
      </c>
      <c r="Y157" s="139">
        <f t="shared" si="5"/>
        <v>5.777521291934443</v>
      </c>
      <c r="AA157" s="73"/>
      <c r="AB157" s="176"/>
      <c r="AC157" s="176"/>
      <c r="AD157" s="176"/>
      <c r="AJ157" s="135"/>
    </row>
    <row r="158" spans="9:36" x14ac:dyDescent="0.35">
      <c r="I158" s="109">
        <v>3.8255714507099997E-2</v>
      </c>
      <c r="J158" s="49">
        <v>5.6955466177170376E-10</v>
      </c>
      <c r="K158" s="49">
        <v>7.4645317527892269E-11</v>
      </c>
      <c r="L158" s="152">
        <v>3.7560563234082557E-10</v>
      </c>
      <c r="R158" s="60">
        <v>1257.4221758785436</v>
      </c>
      <c r="S158" s="57">
        <v>1.5668167345799604E-6</v>
      </c>
      <c r="U158" s="127">
        <v>3.4080544241626776E-10</v>
      </c>
      <c r="V158" s="127">
        <v>3.7560563234082557E-10</v>
      </c>
      <c r="W158" s="127">
        <v>9.4746871355560927E-10</v>
      </c>
      <c r="X158" s="128">
        <f t="shared" si="4"/>
        <v>5.0987135516338198E-10</v>
      </c>
      <c r="Y158" s="139">
        <f t="shared" si="5"/>
        <v>0.63929397688162715</v>
      </c>
      <c r="AA158" s="73"/>
      <c r="AB158" s="176"/>
      <c r="AC158" s="176"/>
      <c r="AD158" s="176"/>
      <c r="AJ158" s="135"/>
    </row>
    <row r="159" spans="9:36" x14ac:dyDescent="0.35">
      <c r="I159" s="109">
        <v>3.8638271652100001E-2</v>
      </c>
      <c r="J159" s="49">
        <v>5.944802330876701E-10</v>
      </c>
      <c r="K159" s="49">
        <v>7.3479460971599575E-11</v>
      </c>
      <c r="L159" s="152">
        <v>5.5526087684586302E-10</v>
      </c>
      <c r="R159" s="60">
        <v>1257.4221758785436</v>
      </c>
      <c r="S159" s="57">
        <v>1.7276722930560841E-6</v>
      </c>
      <c r="U159" s="127">
        <v>2.6146322086323769E-10</v>
      </c>
      <c r="V159" s="127">
        <v>5.5526087684586302E-10</v>
      </c>
      <c r="W159" s="127">
        <v>1.1431718171282555E-9</v>
      </c>
      <c r="X159" s="128">
        <f t="shared" si="4"/>
        <v>6.2878919792080482E-10</v>
      </c>
      <c r="Y159" s="139">
        <f t="shared" si="5"/>
        <v>0.21801345926100241</v>
      </c>
      <c r="AA159" s="73"/>
      <c r="AB159" s="176"/>
      <c r="AC159" s="176"/>
      <c r="AD159" s="176"/>
      <c r="AJ159" s="135"/>
    </row>
    <row r="160" spans="9:36" x14ac:dyDescent="0.35">
      <c r="I160" s="109">
        <v>3.90246543687E-2</v>
      </c>
      <c r="J160" s="49">
        <v>7.272919044873273E-10</v>
      </c>
      <c r="K160" s="49">
        <v>8.5030390677679073E-11</v>
      </c>
      <c r="L160" s="153">
        <v>7.8333198362467655E-10</v>
      </c>
      <c r="M160" s="32"/>
      <c r="R160" s="60">
        <v>1257.8767213330891</v>
      </c>
      <c r="S160" s="57">
        <v>1.7276722930560841E-6</v>
      </c>
      <c r="U160" s="127">
        <v>2.8001345414016662E-10</v>
      </c>
      <c r="V160" s="127">
        <v>7.8333198362467655E-10</v>
      </c>
      <c r="W160" s="127">
        <v>1.2607547596710236E-9</v>
      </c>
      <c r="X160" s="128">
        <f t="shared" si="4"/>
        <v>7.7685804526513581E-10</v>
      </c>
      <c r="Y160" s="139">
        <f t="shared" si="5"/>
        <v>0.33979881743839707</v>
      </c>
      <c r="AA160" s="73"/>
      <c r="AB160" s="176"/>
      <c r="AC160" s="176"/>
      <c r="AD160" s="176"/>
      <c r="AJ160" s="135"/>
    </row>
    <row r="161" spans="1:36" x14ac:dyDescent="0.35">
      <c r="I161" s="109">
        <v>3.9414900912399999E-2</v>
      </c>
      <c r="J161" s="49">
        <v>5.6577969854147905E-10</v>
      </c>
      <c r="K161" s="49">
        <v>8.2946252401074265E-11</v>
      </c>
      <c r="L161" s="153">
        <v>1.0135964159504036E-9</v>
      </c>
      <c r="M161" s="32"/>
      <c r="R161" s="60">
        <v>1257.8767213330891</v>
      </c>
      <c r="S161" s="57">
        <v>1.9051399377501501E-6</v>
      </c>
      <c r="U161" s="127">
        <v>3.9697455370837086E-10</v>
      </c>
      <c r="V161" s="127">
        <v>1.0135964159504036E-9</v>
      </c>
      <c r="W161" s="127">
        <v>1.2709335778102092E-9</v>
      </c>
      <c r="X161" s="128">
        <f t="shared" si="4"/>
        <v>9.2377524085484689E-10</v>
      </c>
      <c r="Y161" s="139">
        <f t="shared" si="5"/>
        <v>18.627805730315643</v>
      </c>
      <c r="AA161" s="73"/>
      <c r="AB161" s="176"/>
      <c r="AC161" s="176"/>
      <c r="AD161" s="176"/>
      <c r="AJ161" s="135"/>
    </row>
    <row r="162" spans="1:36" x14ac:dyDescent="0.35">
      <c r="I162" s="109">
        <v>3.98090499215E-2</v>
      </c>
      <c r="J162" s="49">
        <v>7.3065857665386398E-10</v>
      </c>
      <c r="K162" s="49">
        <v>9.1942692378376282E-11</v>
      </c>
      <c r="L162" s="153">
        <v>1.1966260075917861E-9</v>
      </c>
      <c r="M162" s="32"/>
      <c r="R162" s="60">
        <v>1258.3312667876346</v>
      </c>
      <c r="S162" s="57">
        <v>1.9051399377501501E-6</v>
      </c>
      <c r="U162" s="127">
        <v>5.9275081493487944E-10</v>
      </c>
      <c r="V162" s="127">
        <v>1.1966260075917861E-9</v>
      </c>
      <c r="W162" s="127">
        <v>1.167341683965695E-9</v>
      </c>
      <c r="X162" s="128">
        <f t="shared" si="4"/>
        <v>1.0383361285210367E-9</v>
      </c>
      <c r="Y162" s="139">
        <f t="shared" si="5"/>
        <v>11.198431255949615</v>
      </c>
      <c r="AA162" s="73"/>
      <c r="AB162" s="176"/>
      <c r="AC162" s="176"/>
      <c r="AD162" s="176"/>
      <c r="AJ162" s="135"/>
    </row>
    <row r="163" spans="1:36" x14ac:dyDescent="0.35">
      <c r="I163" s="109">
        <v>4.0207140420699998E-2</v>
      </c>
      <c r="J163" s="49">
        <v>7.4759879214548055E-10</v>
      </c>
      <c r="K163" s="49">
        <v>9.2533561220810394E-11</v>
      </c>
      <c r="L163" s="153">
        <v>1.2904984420742428E-9</v>
      </c>
      <c r="M163" s="32"/>
      <c r="R163" s="60">
        <v>1258.3312667876346</v>
      </c>
      <c r="S163" s="57">
        <v>2.0446992398031066E-6</v>
      </c>
      <c r="U163" s="127">
        <v>8.3014910354977415E-10</v>
      </c>
      <c r="V163" s="127">
        <v>1.2904984420742428E-9</v>
      </c>
      <c r="W163" s="127">
        <v>9.6983674297079021E-10</v>
      </c>
      <c r="X163" s="128">
        <f t="shared" si="4"/>
        <v>1.0952456826672626E-9</v>
      </c>
      <c r="Y163" s="139">
        <f t="shared" si="5"/>
        <v>14.114911037725083</v>
      </c>
      <c r="AA163" s="73"/>
      <c r="AB163" s="176"/>
      <c r="AC163" s="176"/>
      <c r="AD163" s="176"/>
      <c r="AJ163" s="135"/>
    </row>
    <row r="164" spans="1:36" x14ac:dyDescent="0.35">
      <c r="I164" s="109">
        <v>4.0609211824900002E-2</v>
      </c>
      <c r="J164" s="49">
        <v>7.0378044477941579E-10</v>
      </c>
      <c r="K164" s="49">
        <v>8.8040055296378723E-11</v>
      </c>
      <c r="L164" s="153">
        <v>1.2708568445521617E-9</v>
      </c>
      <c r="M164" s="32"/>
      <c r="R164" s="60">
        <v>1258.5585395149074</v>
      </c>
      <c r="S164" s="57">
        <v>2.0446992398031066E-6</v>
      </c>
      <c r="U164" s="127">
        <v>1.0609263749757999E-9</v>
      </c>
      <c r="V164" s="127">
        <v>1.2708568445521617E-9</v>
      </c>
      <c r="W164" s="127">
        <v>7.218381316761289E-10</v>
      </c>
      <c r="X164" s="128">
        <f t="shared" si="4"/>
        <v>1.0811195489390631E-9</v>
      </c>
      <c r="Y164" s="139">
        <f t="shared" si="5"/>
        <v>18.369740225544234</v>
      </c>
      <c r="AA164" s="73"/>
      <c r="AB164" s="176"/>
      <c r="AC164" s="176"/>
      <c r="AD164" s="176"/>
      <c r="AJ164" s="135"/>
    </row>
    <row r="165" spans="1:36" x14ac:dyDescent="0.35">
      <c r="I165" s="109">
        <v>4.1015303943099997E-2</v>
      </c>
      <c r="J165" s="49">
        <v>7.9429144473581524E-10</v>
      </c>
      <c r="K165" s="49">
        <v>1.0039068341389992E-10</v>
      </c>
      <c r="L165" s="153">
        <v>1.1379056596171489E-9</v>
      </c>
      <c r="M165" s="32"/>
      <c r="R165" s="60">
        <v>1258.5585395149074</v>
      </c>
      <c r="S165" s="57">
        <v>2.1411167493014851E-6</v>
      </c>
      <c r="U165" s="127">
        <v>1.2353959838795387E-9</v>
      </c>
      <c r="V165" s="127">
        <v>1.1379056596171489E-9</v>
      </c>
      <c r="W165" s="127">
        <v>4.8162549413223182E-10</v>
      </c>
      <c r="X165" s="128">
        <f t="shared" si="4"/>
        <v>9.9820819931151716E-10</v>
      </c>
      <c r="Y165" s="139">
        <f t="shared" si="5"/>
        <v>4.1259028681974899</v>
      </c>
      <c r="AA165" s="73"/>
      <c r="AB165" s="176"/>
      <c r="AC165" s="176"/>
      <c r="AD165" s="176"/>
      <c r="AJ165" s="135"/>
    </row>
    <row r="166" spans="1:36" x14ac:dyDescent="0.35">
      <c r="I166" s="109">
        <v>4.1425456982600001E-2</v>
      </c>
      <c r="J166" s="49">
        <v>7.9749841131202026E-10</v>
      </c>
      <c r="K166" s="49">
        <v>9.9428478009162511E-11</v>
      </c>
      <c r="L166" s="153">
        <v>9.1832152381965768E-10</v>
      </c>
      <c r="M166" s="32"/>
      <c r="R166" s="60">
        <v>1258.8328703136367</v>
      </c>
      <c r="S166" s="57">
        <v>2.1411167493014851E-6</v>
      </c>
      <c r="U166" s="127">
        <v>1.3133008268152297E-9</v>
      </c>
      <c r="V166" s="127">
        <v>9.1832152381965768E-10</v>
      </c>
      <c r="W166" s="127">
        <v>3.0904974475776226E-10</v>
      </c>
      <c r="X166" s="128">
        <f t="shared" si="4"/>
        <v>8.647484048030768E-10</v>
      </c>
      <c r="Y166" s="139">
        <f t="shared" si="5"/>
        <v>0.45747030657141774</v>
      </c>
      <c r="AA166" s="73"/>
      <c r="AB166" s="176"/>
      <c r="AC166" s="176"/>
      <c r="AD166" s="176"/>
      <c r="AJ166" s="135"/>
    </row>
    <row r="167" spans="1:36" x14ac:dyDescent="0.35">
      <c r="I167" s="109">
        <v>4.1839711552400002E-2</v>
      </c>
      <c r="J167" s="49">
        <v>6.2198439966786601E-10</v>
      </c>
      <c r="K167" s="49">
        <v>8.9066974131576228E-11</v>
      </c>
      <c r="L167" s="153">
        <v>6.6100194427696212E-10</v>
      </c>
      <c r="M167" s="32"/>
      <c r="R167" s="60">
        <v>1258.8328703136367</v>
      </c>
      <c r="S167" s="57">
        <v>2.255607043348213E-6</v>
      </c>
      <c r="U167" s="127">
        <v>1.2736286856980012E-9</v>
      </c>
      <c r="V167" s="127">
        <v>6.6100194427696212E-10</v>
      </c>
      <c r="W167" s="127">
        <v>2.5050967041166507E-10</v>
      </c>
      <c r="X167" s="128">
        <f t="shared" si="4"/>
        <v>7.1153556116589771E-10</v>
      </c>
      <c r="Y167" s="139">
        <f t="shared" si="5"/>
        <v>1.0109019857224832</v>
      </c>
      <c r="AA167" s="73"/>
      <c r="AB167" s="176"/>
      <c r="AC167" s="176"/>
      <c r="AD167" s="176"/>
      <c r="AJ167" s="135"/>
    </row>
    <row r="168" spans="1:36" x14ac:dyDescent="0.35">
      <c r="I168" s="109">
        <v>4.2258108667900002E-2</v>
      </c>
      <c r="J168" s="49">
        <v>8.2865212846926682E-10</v>
      </c>
      <c r="K168" s="49">
        <v>1.0927299121069707E-10</v>
      </c>
      <c r="L168" s="153">
        <v>4.2694581258206151E-10</v>
      </c>
      <c r="M168" s="32"/>
      <c r="R168" s="60">
        <v>1259.111888139269</v>
      </c>
      <c r="S168" s="57">
        <v>2.255607043348213E-6</v>
      </c>
      <c r="U168" s="127">
        <v>1.1209704189269839E-9</v>
      </c>
      <c r="V168" s="127">
        <v>4.2694581258206151E-10</v>
      </c>
      <c r="W168" s="127">
        <v>3.259197377551065E-10</v>
      </c>
      <c r="X168" s="128">
        <f t="shared" si="4"/>
        <v>5.7519544546155336E-10</v>
      </c>
      <c r="Y168" s="139">
        <f t="shared" si="5"/>
        <v>5.379994490179957</v>
      </c>
      <c r="AA168" s="73"/>
      <c r="AB168" s="176"/>
      <c r="AC168" s="176"/>
      <c r="AD168" s="176"/>
      <c r="AJ168" s="135"/>
    </row>
    <row r="169" spans="1:36" x14ac:dyDescent="0.35">
      <c r="I169" s="109">
        <v>4.2680689754600001E-2</v>
      </c>
      <c r="J169" s="49">
        <v>5.4480135760009828E-10</v>
      </c>
      <c r="K169" s="49">
        <v>8.6080798263287708E-11</v>
      </c>
      <c r="L169" s="153">
        <v>2.7509104178135564E-10</v>
      </c>
      <c r="M169" s="32"/>
      <c r="R169" s="60">
        <v>1259.111888139269</v>
      </c>
      <c r="S169" s="57">
        <v>2.3700749442513368E-6</v>
      </c>
      <c r="U169" s="127">
        <v>8.8650318166153918E-10</v>
      </c>
      <c r="V169" s="127">
        <v>2.7509104178135564E-10</v>
      </c>
      <c r="W169" s="127">
        <v>5.2138707834298426E-10</v>
      </c>
      <c r="X169" s="128">
        <f t="shared" si="4"/>
        <v>4.8951808589180868E-10</v>
      </c>
      <c r="Y169" s="139">
        <f t="shared" si="5"/>
        <v>0.4124534138412782</v>
      </c>
      <c r="AA169" s="73"/>
      <c r="AB169" s="176"/>
      <c r="AC169" s="176"/>
      <c r="AD169" s="176"/>
      <c r="AJ169" s="135"/>
    </row>
    <row r="170" spans="1:36" x14ac:dyDescent="0.35">
      <c r="I170" s="109">
        <v>4.3107496652199997E-2</v>
      </c>
      <c r="J170" s="49">
        <v>5.0684657631440996E-10</v>
      </c>
      <c r="K170" s="49">
        <v>8.8809098492278096E-11</v>
      </c>
      <c r="L170" s="153">
        <v>2.4724954300122113E-10</v>
      </c>
      <c r="M170" s="32"/>
      <c r="R170" s="60">
        <v>1259.4007836221388</v>
      </c>
      <c r="S170" s="57">
        <v>2.3700749442513368E-6</v>
      </c>
      <c r="U170" s="127">
        <v>6.2270668278472526E-10</v>
      </c>
      <c r="V170" s="127">
        <v>2.4724954300122113E-10</v>
      </c>
      <c r="W170" s="127">
        <v>7.9026532680558707E-10</v>
      </c>
      <c r="X170" s="128">
        <f t="shared" si="4"/>
        <v>4.7686777389818864E-10</v>
      </c>
      <c r="Y170" s="139">
        <f t="shared" si="5"/>
        <v>0.11394981817782344</v>
      </c>
      <c r="AA170" s="73"/>
      <c r="AB170" s="176"/>
      <c r="AC170" s="176"/>
      <c r="AD170" s="176"/>
      <c r="AJ170" s="135"/>
    </row>
    <row r="171" spans="1:36" x14ac:dyDescent="0.35">
      <c r="I171" s="109">
        <v>4.3538571618699999E-2</v>
      </c>
      <c r="J171" s="49">
        <v>6.6334793186830774E-10</v>
      </c>
      <c r="K171" s="49">
        <v>1.0028973955742048E-10</v>
      </c>
      <c r="L171" s="153">
        <v>3.5597263841214636E-10</v>
      </c>
      <c r="M171" s="32"/>
      <c r="R171" s="60">
        <v>1259.4007836221388</v>
      </c>
      <c r="S171" s="57">
        <v>2.4844458017234639E-6</v>
      </c>
      <c r="U171" s="127">
        <v>3.9234193991057089E-10</v>
      </c>
      <c r="V171" s="127">
        <v>3.5597263841214636E-10</v>
      </c>
      <c r="W171" s="127">
        <v>1.0632806794774952E-9</v>
      </c>
      <c r="X171" s="128">
        <f t="shared" si="4"/>
        <v>5.4189197405308963E-10</v>
      </c>
      <c r="Y171" s="139">
        <f t="shared" si="5"/>
        <v>1.4666437622604342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4.3973957334899998E-2</v>
      </c>
      <c r="J172" s="49">
        <v>7.1913382688011583E-10</v>
      </c>
      <c r="K172" s="49">
        <v>1.0742898346638303E-10</v>
      </c>
      <c r="L172" s="153">
        <v>5.7893457509202487E-10</v>
      </c>
      <c r="M172" s="32"/>
      <c r="N172" s="18"/>
      <c r="O172" s="18"/>
      <c r="P172" s="30"/>
      <c r="Q172" s="65"/>
      <c r="R172" s="62">
        <v>1259.7058994818051</v>
      </c>
      <c r="S172" s="61">
        <v>2.4844458017234639E-6</v>
      </c>
      <c r="T172" s="75"/>
      <c r="U172" s="127">
        <v>2.5375215935252596E-10</v>
      </c>
      <c r="V172" s="127">
        <v>5.7893457509202487E-10</v>
      </c>
      <c r="W172" s="127">
        <v>1.2659517234730538E-9</v>
      </c>
      <c r="X172" s="128">
        <f t="shared" si="4"/>
        <v>6.693932582524074E-10</v>
      </c>
      <c r="Y172" s="139">
        <f t="shared" si="5"/>
        <v>0.21437718256123936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4.4413696908199997E-2</v>
      </c>
      <c r="J173" s="49">
        <v>7.0555440600117856E-10</v>
      </c>
      <c r="K173" s="49">
        <v>4.7003007047301616E-11</v>
      </c>
      <c r="L173" s="153">
        <v>8.6213457534544656E-10</v>
      </c>
      <c r="M173" s="32"/>
      <c r="R173" s="60">
        <v>1259.7058994818051</v>
      </c>
      <c r="S173" s="57">
        <v>2.5985365078718796E-6</v>
      </c>
      <c r="U173" s="127">
        <v>2.4579791187262179E-10</v>
      </c>
      <c r="V173" s="127">
        <v>8.6213457534544656E-10</v>
      </c>
      <c r="W173" s="127">
        <v>1.3391911763175562E-9</v>
      </c>
      <c r="X173" s="128">
        <f t="shared" si="4"/>
        <v>8.2731455972026774E-10</v>
      </c>
      <c r="Y173" s="139">
        <f t="shared" si="5"/>
        <v>6.7105650286508185</v>
      </c>
      <c r="AA173" s="73"/>
      <c r="AB173" s="176"/>
      <c r="AC173" s="176"/>
      <c r="AD173" s="176"/>
      <c r="AJ173" s="135"/>
    </row>
    <row r="174" spans="1:36" x14ac:dyDescent="0.35">
      <c r="I174" s="109">
        <v>4.4857833877300003E-2</v>
      </c>
      <c r="J174" s="49">
        <v>7.685662434964798E-10</v>
      </c>
      <c r="K174" s="49">
        <v>4.7740640955799155E-11</v>
      </c>
      <c r="L174" s="153">
        <v>1.1320776406743868E-9</v>
      </c>
      <c r="M174" s="32"/>
      <c r="R174" s="60">
        <v>1260.0357543314926</v>
      </c>
      <c r="S174" s="57">
        <v>2.5985365078718796E-6</v>
      </c>
      <c r="U174" s="127">
        <v>3.7631422809708143E-10</v>
      </c>
      <c r="V174" s="127">
        <v>1.1320776406743868E-9</v>
      </c>
      <c r="W174" s="127">
        <v>1.2574927514167325E-9</v>
      </c>
      <c r="X174" s="128">
        <f t="shared" si="4"/>
        <v>9.7449056521564676E-10</v>
      </c>
      <c r="Y174" s="139">
        <f t="shared" si="5"/>
        <v>18.605390832181126</v>
      </c>
      <c r="AA174" s="73"/>
      <c r="AB174" s="176"/>
      <c r="AC174" s="176"/>
      <c r="AD174" s="176"/>
      <c r="AJ174" s="135"/>
    </row>
    <row r="175" spans="1:36" x14ac:dyDescent="0.35">
      <c r="I175" s="109">
        <v>4.5306412216100003E-2</v>
      </c>
      <c r="J175" s="49">
        <v>9.2409461125243367E-10</v>
      </c>
      <c r="K175" s="49">
        <v>5.4174465870771904E-11</v>
      </c>
      <c r="L175" s="153">
        <v>1.3145789656505253E-9</v>
      </c>
      <c r="M175" s="32"/>
      <c r="R175" s="60">
        <v>1260.0357543314926</v>
      </c>
      <c r="S175" s="57">
        <v>2.711966410663156E-6</v>
      </c>
      <c r="U175" s="127">
        <v>6.1758343686772631E-10</v>
      </c>
      <c r="V175" s="127">
        <v>1.3145789656505253E-9</v>
      </c>
      <c r="W175" s="127">
        <v>1.0390517047692558E-9</v>
      </c>
      <c r="X175" s="128">
        <f t="shared" si="4"/>
        <v>1.0714482682345081E-9</v>
      </c>
      <c r="Y175" s="139">
        <f t="shared" si="5"/>
        <v>7.3983106110333061</v>
      </c>
      <c r="AA175" s="73"/>
      <c r="AB175" s="176"/>
      <c r="AC175" s="176"/>
      <c r="AD175" s="176"/>
      <c r="AJ175" s="135"/>
    </row>
    <row r="176" spans="1:36" x14ac:dyDescent="0.35">
      <c r="I176" s="109">
        <v>4.5759476338200003E-2</v>
      </c>
      <c r="J176" s="49">
        <v>8.9246982682790441E-10</v>
      </c>
      <c r="K176" s="49">
        <v>5.1742293434307051E-11</v>
      </c>
      <c r="L176" s="153">
        <v>1.3556177090363878E-9</v>
      </c>
      <c r="M176" s="32"/>
      <c r="R176" s="60">
        <v>1260.4029357407492</v>
      </c>
      <c r="S176" s="57">
        <v>2.711966410663156E-6</v>
      </c>
      <c r="U176" s="127">
        <v>9.1088801028967128E-10</v>
      </c>
      <c r="V176" s="127">
        <v>1.3556177090363878E-9</v>
      </c>
      <c r="W176" s="127">
        <v>7.4381068384244292E-10</v>
      </c>
      <c r="X176" s="128">
        <f t="shared" si="4"/>
        <v>1.0914835280512225E-9</v>
      </c>
      <c r="Y176" s="139">
        <f t="shared" si="5"/>
        <v>14.793624954009495</v>
      </c>
      <c r="AA176" s="73"/>
      <c r="AB176" s="176"/>
      <c r="AC176" s="176"/>
      <c r="AD176" s="176"/>
      <c r="AJ176" s="135"/>
    </row>
    <row r="177" spans="9:36" x14ac:dyDescent="0.35">
      <c r="I177" s="109">
        <v>4.6217071101599998E-2</v>
      </c>
      <c r="J177" s="49">
        <v>7.9568932573478925E-10</v>
      </c>
      <c r="K177" s="49">
        <v>5.1716386750289604E-11</v>
      </c>
      <c r="L177" s="152">
        <v>1.2384426388972836E-9</v>
      </c>
      <c r="M177" s="33"/>
      <c r="R177" s="60">
        <v>1260.4029357407492</v>
      </c>
      <c r="S177" s="57">
        <v>2.8239927137034601E-6</v>
      </c>
      <c r="U177" s="127">
        <v>1.1799711122382128E-9</v>
      </c>
      <c r="V177" s="127">
        <v>1.2384426388972836E-9</v>
      </c>
      <c r="W177" s="127">
        <v>4.5857124502048183E-10</v>
      </c>
      <c r="X177" s="128">
        <f t="shared" si="4"/>
        <v>1.0288569087633153E-9</v>
      </c>
      <c r="Y177" s="139">
        <f t="shared" si="5"/>
        <v>20.327313851318941</v>
      </c>
      <c r="AA177" s="73"/>
      <c r="AB177" s="176"/>
      <c r="AC177" s="176"/>
      <c r="AD177" s="176"/>
      <c r="AJ177" s="135"/>
    </row>
    <row r="178" spans="9:36" x14ac:dyDescent="0.35">
      <c r="I178" s="109">
        <v>4.6679241812599997E-2</v>
      </c>
      <c r="J178" s="49">
        <v>8.2379691360376979E-10</v>
      </c>
      <c r="K178" s="49">
        <v>5.2400669479848546E-11</v>
      </c>
      <c r="L178" s="152">
        <v>9.9143733411931782E-10</v>
      </c>
      <c r="M178" s="33"/>
      <c r="R178" s="60">
        <v>1260.8281575687679</v>
      </c>
      <c r="S178" s="57">
        <v>2.8239927137034601E-6</v>
      </c>
      <c r="U178" s="127">
        <v>1.3506986880335858E-9</v>
      </c>
      <c r="V178" s="127">
        <v>9.9143733411931782E-10</v>
      </c>
      <c r="W178" s="127">
        <v>2.7225814698419433E-10</v>
      </c>
      <c r="X178" s="128">
        <f t="shared" si="4"/>
        <v>9.0145787581410398E-10</v>
      </c>
      <c r="Y178" s="139">
        <f t="shared" si="5"/>
        <v>2.1965033143862756</v>
      </c>
      <c r="AA178" s="73"/>
      <c r="AB178" s="176"/>
      <c r="AC178" s="176"/>
      <c r="AD178" s="176"/>
      <c r="AJ178" s="135"/>
    </row>
    <row r="179" spans="9:36" x14ac:dyDescent="0.35">
      <c r="I179" s="109">
        <v>4.71460342308E-2</v>
      </c>
      <c r="J179" s="49">
        <v>6.4408706934641438E-10</v>
      </c>
      <c r="K179" s="49">
        <v>4.3357324474046339E-11</v>
      </c>
      <c r="L179" s="152">
        <v>6.8326725561271101E-10</v>
      </c>
      <c r="M179" s="33"/>
      <c r="R179" s="60">
        <v>1260.8281575687679</v>
      </c>
      <c r="S179" s="57">
        <v>2.9331773360899732E-6</v>
      </c>
      <c r="U179" s="127">
        <v>1.3720723488799579E-9</v>
      </c>
      <c r="V179" s="127">
        <v>6.8326725561271101E-10</v>
      </c>
      <c r="W179" s="127">
        <v>2.480351032506935E-10</v>
      </c>
      <c r="X179" s="128">
        <f t="shared" si="4"/>
        <v>7.4666049083901839E-10</v>
      </c>
      <c r="Y179" s="139">
        <f t="shared" si="5"/>
        <v>5.5968637611629415</v>
      </c>
      <c r="AA179" s="73"/>
      <c r="AB179" s="176"/>
      <c r="AC179" s="176"/>
      <c r="AD179" s="176"/>
      <c r="AJ179" s="135"/>
    </row>
    <row r="180" spans="9:36" x14ac:dyDescent="0.35">
      <c r="I180" s="109">
        <v>4.7617494573100001E-2</v>
      </c>
      <c r="J180" s="49">
        <v>6.8219428112788914E-10</v>
      </c>
      <c r="K180" s="49">
        <v>4.559847966304782E-11</v>
      </c>
      <c r="L180" s="152">
        <v>4.0525264174841465E-10</v>
      </c>
      <c r="M180" s="33"/>
      <c r="R180" s="60">
        <v>1261.3506802786346</v>
      </c>
      <c r="S180" s="57">
        <v>2.9331773360899732E-6</v>
      </c>
      <c r="U180" s="127">
        <v>1.2326800439270893E-9</v>
      </c>
      <c r="V180" s="127">
        <v>4.0525264174841465E-10</v>
      </c>
      <c r="W180" s="127">
        <v>4.0096490620207077E-10</v>
      </c>
      <c r="X180" s="128">
        <f t="shared" si="4"/>
        <v>6.1103755840649733E-10</v>
      </c>
      <c r="Y180" s="139">
        <f t="shared" si="5"/>
        <v>2.4351804555771803</v>
      </c>
      <c r="AA180" s="73"/>
      <c r="AB180" s="176"/>
      <c r="AC180" s="176"/>
      <c r="AD180" s="176"/>
      <c r="AJ180" s="135"/>
    </row>
    <row r="181" spans="9:36" x14ac:dyDescent="0.35">
      <c r="I181" s="109">
        <v>4.8093669518800002E-2</v>
      </c>
      <c r="J181" s="49">
        <v>6.1677368439127738E-10</v>
      </c>
      <c r="K181" s="49">
        <v>4.5077997294167464E-11</v>
      </c>
      <c r="L181" s="152">
        <v>2.4492450923036019E-10</v>
      </c>
      <c r="M181" s="33"/>
      <c r="R181" s="60">
        <v>1261.3506802786346</v>
      </c>
      <c r="S181" s="57">
        <v>3.0366355283788469E-6</v>
      </c>
      <c r="U181" s="127">
        <v>9.6719383775815731E-10</v>
      </c>
      <c r="V181" s="127">
        <v>2.4492450923036019E-10</v>
      </c>
      <c r="W181" s="127">
        <v>6.8928359060863359E-10</v>
      </c>
      <c r="X181" s="128">
        <f t="shared" si="4"/>
        <v>5.3658161170687785E-10</v>
      </c>
      <c r="Y181" s="139">
        <f t="shared" si="5"/>
        <v>3.164708043895931</v>
      </c>
      <c r="AA181" s="73"/>
      <c r="AB181" s="176"/>
      <c r="AC181" s="176"/>
      <c r="AD181" s="176"/>
      <c r="AJ181" s="135"/>
    </row>
    <row r="182" spans="9:36" x14ac:dyDescent="0.35">
      <c r="I182" s="109">
        <v>4.8574606213999998E-2</v>
      </c>
      <c r="J182" s="49">
        <v>5.6027663068980477E-10</v>
      </c>
      <c r="K182" s="49">
        <v>4.2774870830367104E-11</v>
      </c>
      <c r="L182" s="152">
        <v>2.5812744231753104E-10</v>
      </c>
      <c r="M182" s="33"/>
      <c r="R182" s="60">
        <v>1262.0638574666582</v>
      </c>
      <c r="S182" s="57">
        <v>3.0366355283788469E-6</v>
      </c>
      <c r="U182" s="127">
        <v>6.4975985198549454E-10</v>
      </c>
      <c r="V182" s="127">
        <v>2.5812744231753104E-10</v>
      </c>
      <c r="W182" s="127">
        <v>1.0238500356201226E-9</v>
      </c>
      <c r="X182" s="128">
        <f t="shared" si="4"/>
        <v>5.4746619306016983E-10</v>
      </c>
      <c r="Y182" s="139">
        <f t="shared" si="5"/>
        <v>8.9691341386538795E-2</v>
      </c>
      <c r="AA182" s="73"/>
      <c r="AB182" s="176"/>
      <c r="AC182" s="176"/>
      <c r="AD182" s="176"/>
      <c r="AJ182" s="135"/>
    </row>
    <row r="183" spans="9:36" x14ac:dyDescent="0.35">
      <c r="I183" s="109">
        <v>4.9060352276099999E-2</v>
      </c>
      <c r="J183" s="49">
        <v>6.4605495894836768E-10</v>
      </c>
      <c r="K183" s="49">
        <v>4.5701990055543905E-11</v>
      </c>
      <c r="L183" s="152">
        <v>4.4856569321743605E-10</v>
      </c>
      <c r="M183" s="33"/>
      <c r="R183" s="60">
        <v>1262.0638574666582</v>
      </c>
      <c r="S183" s="57">
        <v>3.1280658500650879E-6</v>
      </c>
      <c r="U183" s="127">
        <v>3.7470609692598626E-10</v>
      </c>
      <c r="V183" s="127">
        <v>4.4856569321743605E-10</v>
      </c>
      <c r="W183" s="127">
        <v>1.2946732937124296E-9</v>
      </c>
      <c r="X183" s="128">
        <f t="shared" si="4"/>
        <v>6.41627694268322E-10</v>
      </c>
      <c r="Y183" s="139">
        <f t="shared" si="5"/>
        <v>9.3842755263542511E-3</v>
      </c>
      <c r="AA183" s="73"/>
      <c r="AB183" s="176"/>
      <c r="AC183" s="176"/>
      <c r="AD183" s="176"/>
      <c r="AJ183" s="135"/>
    </row>
    <row r="184" spans="9:36" x14ac:dyDescent="0.35">
      <c r="I184" s="109">
        <v>4.9550955798900002E-2</v>
      </c>
      <c r="J184" s="49">
        <v>6.6577518399959444E-10</v>
      </c>
      <c r="K184" s="49">
        <v>4.8711420078678949E-11</v>
      </c>
      <c r="L184" s="152">
        <v>7.6246137219226403E-10</v>
      </c>
      <c r="M184" s="33"/>
      <c r="R184" s="60">
        <v>1263.3454463420321</v>
      </c>
      <c r="S184" s="57">
        <v>3.1280658500650879E-6</v>
      </c>
      <c r="U184" s="127">
        <v>2.2904163490891321E-10</v>
      </c>
      <c r="V184" s="127">
        <v>7.6246137219226403E-10</v>
      </c>
      <c r="W184" s="127">
        <v>1.4072711657096237E-9</v>
      </c>
      <c r="X184" s="128">
        <f t="shared" si="4"/>
        <v>7.9030888625076619E-10</v>
      </c>
      <c r="Y184" s="139">
        <f t="shared" si="5"/>
        <v>6.5360026166504728</v>
      </c>
      <c r="AA184" s="73"/>
      <c r="AB184" s="176"/>
      <c r="AC184" s="176"/>
      <c r="AD184" s="176"/>
      <c r="AJ184" s="135"/>
    </row>
    <row r="185" spans="9:36" x14ac:dyDescent="0.35">
      <c r="I185" s="109">
        <v>5.0046465356900001E-2</v>
      </c>
      <c r="J185" s="49">
        <v>7.8048697467954881E-10</v>
      </c>
      <c r="K185" s="49">
        <v>4.9847052280046758E-11</v>
      </c>
      <c r="L185" s="152">
        <v>1.1019257370179901E-9</v>
      </c>
      <c r="M185" s="33"/>
      <c r="R185" s="60">
        <v>1263.3454463420321</v>
      </c>
      <c r="S185" s="57">
        <v>3.1912672545492482E-6</v>
      </c>
      <c r="U185" s="127">
        <v>2.6450165068583077E-10</v>
      </c>
      <c r="V185" s="127">
        <v>1.1019257370179901E-9</v>
      </c>
      <c r="W185" s="127">
        <v>1.3171164391372191E-9</v>
      </c>
      <c r="X185" s="128">
        <f t="shared" si="4"/>
        <v>9.4636739096475757E-10</v>
      </c>
      <c r="Y185" s="139">
        <f t="shared" si="5"/>
        <v>11.074172154773343</v>
      </c>
      <c r="AA185" s="73"/>
      <c r="AB185" s="176"/>
      <c r="AC185" s="176"/>
      <c r="AD185" s="176"/>
      <c r="AJ185" s="135"/>
    </row>
    <row r="186" spans="9:36" x14ac:dyDescent="0.35">
      <c r="I186" s="109">
        <v>5.0546930010399997E-2</v>
      </c>
      <c r="J186" s="49">
        <v>8.649063225818559E-10</v>
      </c>
      <c r="K186" s="49">
        <v>5.4029783048550846E-11</v>
      </c>
      <c r="L186" s="152">
        <v>1.3546753276196697E-9</v>
      </c>
      <c r="M186" s="33"/>
      <c r="R186" s="60">
        <v>1265.0665279301063</v>
      </c>
      <c r="S186" s="57">
        <v>3.1912672545492482E-6</v>
      </c>
      <c r="U186" s="127">
        <v>4.7815467239723018E-10</v>
      </c>
      <c r="V186" s="127">
        <v>1.3546753276196697E-9</v>
      </c>
      <c r="W186" s="127">
        <v>1.0495060838380123E-9</v>
      </c>
      <c r="X186" s="128">
        <f t="shared" si="4"/>
        <v>1.0592528528686455E-9</v>
      </c>
      <c r="Y186" s="139">
        <f t="shared" si="5"/>
        <v>12.938595497003526</v>
      </c>
      <c r="AA186" s="73"/>
      <c r="AB186" s="176"/>
      <c r="AC186" s="176"/>
      <c r="AD186" s="176"/>
      <c r="AJ186" s="135"/>
    </row>
    <row r="187" spans="9:36" x14ac:dyDescent="0.35">
      <c r="I187" s="109">
        <v>5.1052399310499999E-2</v>
      </c>
      <c r="J187" s="49">
        <v>8.3711496755694391E-10</v>
      </c>
      <c r="K187" s="49">
        <v>5.3332755317174863E-11</v>
      </c>
      <c r="L187" s="152">
        <v>1.4316629162192585E-9</v>
      </c>
      <c r="M187" s="33"/>
      <c r="R187" s="60">
        <v>1265.0665279301063</v>
      </c>
      <c r="S187" s="57">
        <v>3.1999999999999999E-6</v>
      </c>
      <c r="U187" s="127">
        <v>8.0901181201048944E-10</v>
      </c>
      <c r="V187" s="127">
        <v>1.4316629162192585E-9</v>
      </c>
      <c r="W187" s="127">
        <v>6.9581142558861391E-10</v>
      </c>
      <c r="X187" s="128">
        <f t="shared" si="4"/>
        <v>1.0920372675094052E-9</v>
      </c>
      <c r="Y187" s="139">
        <f t="shared" si="5"/>
        <v>22.846917527374096</v>
      </c>
      <c r="AA187" s="73"/>
      <c r="AB187" s="176"/>
      <c r="AC187" s="176"/>
      <c r="AD187" s="176"/>
      <c r="AJ187" s="135"/>
    </row>
    <row r="188" spans="9:36" x14ac:dyDescent="0.35">
      <c r="I188" s="109">
        <v>5.1562923303600003E-2</v>
      </c>
      <c r="J188" s="49">
        <v>9.1001665444302167E-10</v>
      </c>
      <c r="K188" s="49">
        <v>5.5863956737286751E-11</v>
      </c>
      <c r="L188" s="152">
        <v>1.3002124752797454E-9</v>
      </c>
      <c r="M188" s="33"/>
      <c r="R188" s="60">
        <v>1274.0790248907601</v>
      </c>
      <c r="S188" s="57">
        <v>3.1999999999999999E-6</v>
      </c>
      <c r="U188" s="127">
        <v>1.153691076883332E-9</v>
      </c>
      <c r="V188" s="127">
        <v>1.3002124752797454E-9</v>
      </c>
      <c r="W188" s="127">
        <v>3.8469059585049222E-10</v>
      </c>
      <c r="X188" s="128">
        <f t="shared" si="4"/>
        <v>1.0347016558233286E-9</v>
      </c>
      <c r="Y188" s="139">
        <f t="shared" si="5"/>
        <v>4.9815563058401127</v>
      </c>
      <c r="AA188" s="73"/>
      <c r="AB188" s="176"/>
      <c r="AC188" s="176"/>
      <c r="AD188" s="176"/>
      <c r="AJ188" s="135"/>
    </row>
    <row r="189" spans="9:36" x14ac:dyDescent="0.35">
      <c r="I189" s="109">
        <v>5.2078552536699997E-2</v>
      </c>
      <c r="J189" s="49">
        <v>7.9205307988674206E-10</v>
      </c>
      <c r="K189" s="49">
        <v>5.4987232514253786E-11</v>
      </c>
      <c r="L189" s="152">
        <v>1.0001605806275522E-9</v>
      </c>
      <c r="M189" s="33"/>
      <c r="R189" s="60">
        <v>1274.0790248907601</v>
      </c>
      <c r="S189" s="57">
        <v>3.1954501189971791E-6</v>
      </c>
      <c r="U189" s="127">
        <v>1.3980433194391717E-9</v>
      </c>
      <c r="V189" s="127">
        <v>1.0001605806275522E-9</v>
      </c>
      <c r="W189" s="127">
        <v>2.3626724998625418E-10</v>
      </c>
      <c r="X189" s="128">
        <f t="shared" si="4"/>
        <v>9.0865793267013263E-10</v>
      </c>
      <c r="Y189" s="139">
        <f t="shared" si="5"/>
        <v>4.4968616388314269</v>
      </c>
      <c r="AA189" s="73"/>
      <c r="AB189" s="176"/>
      <c r="AC189" s="176"/>
      <c r="AD189" s="176"/>
      <c r="AJ189" s="135"/>
    </row>
    <row r="190" spans="9:36" x14ac:dyDescent="0.35">
      <c r="I190" s="109">
        <v>5.2599338062100001E-2</v>
      </c>
      <c r="J190" s="49">
        <v>7.2050661848064154E-10</v>
      </c>
      <c r="K190" s="49">
        <v>5.5481364789598331E-11</v>
      </c>
      <c r="L190" s="152">
        <v>6.3503690987447069E-10</v>
      </c>
      <c r="M190" s="33"/>
      <c r="R190" s="60">
        <v>1275.8001064788343</v>
      </c>
      <c r="S190" s="57">
        <v>3.1954501189971791E-6</v>
      </c>
      <c r="U190" s="127">
        <v>1.4556289507226284E-9</v>
      </c>
      <c r="V190" s="127">
        <v>6.3503690987447069E-10</v>
      </c>
      <c r="W190" s="127">
        <v>3.1509842399262718E-10</v>
      </c>
      <c r="X190" s="128">
        <f t="shared" si="4"/>
        <v>7.602002986160493E-10</v>
      </c>
      <c r="Y190" s="139">
        <f t="shared" si="5"/>
        <v>0.5118567794704002</v>
      </c>
      <c r="AA190" s="73"/>
      <c r="AB190" s="176"/>
      <c r="AC190" s="176"/>
      <c r="AD190" s="176"/>
      <c r="AJ190" s="135"/>
    </row>
    <row r="191" spans="9:36" x14ac:dyDescent="0.35">
      <c r="I191" s="109">
        <v>5.31253314427E-2</v>
      </c>
      <c r="J191" s="49">
        <v>6.6038844967331086E-10</v>
      </c>
      <c r="K191" s="49">
        <v>5.3488614989609974E-11</v>
      </c>
      <c r="L191" s="152">
        <v>3.3859541054801302E-10</v>
      </c>
      <c r="M191" s="33"/>
      <c r="R191" s="60">
        <v>1275.8001064788343</v>
      </c>
      <c r="S191" s="57">
        <v>3.1625213142775441E-6</v>
      </c>
      <c r="U191" s="127">
        <v>1.3002372141092768E-9</v>
      </c>
      <c r="V191" s="127">
        <v>3.3859541054801302E-10</v>
      </c>
      <c r="W191" s="127">
        <v>6.0047276265993046E-10</v>
      </c>
      <c r="X191" s="128">
        <f t="shared" si="4"/>
        <v>6.4447519946630829E-10</v>
      </c>
      <c r="Y191" s="139">
        <f t="shared" si="5"/>
        <v>8.8510557741410742E-2</v>
      </c>
      <c r="AA191" s="73"/>
      <c r="AB191" s="176"/>
      <c r="AC191" s="176"/>
      <c r="AD191" s="176"/>
      <c r="AJ191" s="135"/>
    </row>
    <row r="192" spans="9:36" x14ac:dyDescent="0.35">
      <c r="I192" s="109">
        <v>5.3656584757100001E-2</v>
      </c>
      <c r="J192" s="49">
        <v>6.1161883059418282E-10</v>
      </c>
      <c r="K192" s="49">
        <v>5.1386939122454493E-11</v>
      </c>
      <c r="L192" s="152">
        <v>2.2652966429525173E-10</v>
      </c>
      <c r="M192" s="33"/>
      <c r="R192" s="60">
        <v>1277.0816953542083</v>
      </c>
      <c r="S192" s="57">
        <v>3.1625213142775441E-6</v>
      </c>
      <c r="U192" s="127">
        <v>9.8001580133583548E-10</v>
      </c>
      <c r="V192" s="127">
        <v>2.2652966429525173E-10</v>
      </c>
      <c r="W192" s="127">
        <v>9.8810658511835259E-10</v>
      </c>
      <c r="X192" s="128">
        <f t="shared" si="4"/>
        <v>6.0529542876117283E-10</v>
      </c>
      <c r="Y192" s="139">
        <f t="shared" si="5"/>
        <v>1.5142447005039038E-2</v>
      </c>
      <c r="AA192" s="73"/>
      <c r="AB192" s="176"/>
      <c r="AC192" s="176"/>
      <c r="AD192" s="176"/>
      <c r="AJ192" s="135"/>
    </row>
    <row r="193" spans="9:36" x14ac:dyDescent="0.35">
      <c r="I193" s="109">
        <v>5.4193150604700001E-2</v>
      </c>
      <c r="J193" s="49">
        <v>8.2515078960244014E-10</v>
      </c>
      <c r="K193" s="49">
        <v>6.2065607120798861E-11</v>
      </c>
      <c r="L193" s="152">
        <v>3.5041630639440912E-10</v>
      </c>
      <c r="M193" s="33"/>
      <c r="R193" s="60">
        <v>1277.0816953542083</v>
      </c>
      <c r="S193" s="57">
        <v>3.1148848537774594E-6</v>
      </c>
      <c r="U193" s="127">
        <v>6.0581726514783941E-10</v>
      </c>
      <c r="V193" s="127">
        <v>3.5041630639440912E-10</v>
      </c>
      <c r="W193" s="127">
        <v>1.3262261579477183E-9</v>
      </c>
      <c r="X193" s="128">
        <f t="shared" si="4"/>
        <v>6.5821900897109399E-10</v>
      </c>
      <c r="Y193" s="139">
        <f t="shared" si="5"/>
        <v>7.2339588826988193</v>
      </c>
      <c r="AA193" s="73"/>
      <c r="AB193" s="176"/>
      <c r="AC193" s="176"/>
      <c r="AD193" s="176"/>
      <c r="AJ193" s="135"/>
    </row>
    <row r="194" spans="9:36" x14ac:dyDescent="0.35">
      <c r="I194" s="109">
        <v>5.4735082110700002E-2</v>
      </c>
      <c r="J194" s="49">
        <v>7.5065833642774331E-10</v>
      </c>
      <c r="K194" s="49">
        <v>5.8528584509340043E-11</v>
      </c>
      <c r="L194" s="152">
        <v>6.724456437934079E-10</v>
      </c>
      <c r="M194" s="33"/>
      <c r="R194" s="60">
        <v>1277.7948725422318</v>
      </c>
      <c r="S194" s="57">
        <v>3.1148848537774594E-6</v>
      </c>
      <c r="U194" s="127">
        <v>3.1502226335849396E-10</v>
      </c>
      <c r="V194" s="127">
        <v>6.724456437934079E-10</v>
      </c>
      <c r="W194" s="127">
        <v>1.4749366257839952E-9</v>
      </c>
      <c r="X194" s="128">
        <f t="shared" si="4"/>
        <v>7.8371254418232622E-10</v>
      </c>
      <c r="Y194" s="139">
        <f t="shared" si="5"/>
        <v>0.31894622248262722</v>
      </c>
      <c r="AA194" s="73"/>
      <c r="AB194" s="176"/>
      <c r="AC194" s="176"/>
      <c r="AD194" s="176"/>
      <c r="AJ194" s="135"/>
    </row>
    <row r="195" spans="9:36" x14ac:dyDescent="0.35">
      <c r="I195" s="109">
        <v>5.5282432931799998E-2</v>
      </c>
      <c r="J195" s="49">
        <v>8.2819058777308416E-10</v>
      </c>
      <c r="K195" s="49">
        <v>6.2181327261786375E-11</v>
      </c>
      <c r="L195" s="152">
        <v>1.0736227214559745E-9</v>
      </c>
      <c r="M195" s="33"/>
      <c r="R195" s="60">
        <v>1277.7948725422318</v>
      </c>
      <c r="S195" s="57">
        <v>3.060981706555778E-6</v>
      </c>
      <c r="U195" s="127">
        <v>2.2169427655935809E-10</v>
      </c>
      <c r="V195" s="127">
        <v>1.0736227214559745E-9</v>
      </c>
      <c r="W195" s="127">
        <v>1.3662876473721406E-9</v>
      </c>
      <c r="X195" s="128">
        <f t="shared" ref="X195:X243" si="6">(U195+2*V195+W195)/4</f>
        <v>9.3380684171086189E-10</v>
      </c>
      <c r="Y195" s="139">
        <f t="shared" ref="Y195:Y243" si="7">(J195-X195)*(J195-X195)/(K195*K195)</f>
        <v>2.8849716084668389</v>
      </c>
      <c r="AA195" s="73"/>
      <c r="AB195" s="176"/>
      <c r="AC195" s="176"/>
      <c r="AD195" s="176"/>
      <c r="AJ195" s="135"/>
    </row>
    <row r="196" spans="9:36" x14ac:dyDescent="0.35">
      <c r="I196" s="109">
        <v>5.5835257261100002E-2</v>
      </c>
      <c r="J196" s="49">
        <v>8.9405943975326185E-10</v>
      </c>
      <c r="K196" s="49">
        <v>6.9127258876487406E-11</v>
      </c>
      <c r="L196" s="152">
        <v>1.3960017238509645E-9</v>
      </c>
      <c r="M196" s="33"/>
      <c r="R196" s="60">
        <v>1278.3173952520985</v>
      </c>
      <c r="S196" s="57">
        <v>3.060981706555778E-6</v>
      </c>
      <c r="U196" s="127">
        <v>3.7081833366091111E-10</v>
      </c>
      <c r="V196" s="127">
        <v>1.3960017238509645E-9</v>
      </c>
      <c r="W196" s="127">
        <v>1.0390575884170709E-9</v>
      </c>
      <c r="X196" s="128">
        <f t="shared" si="6"/>
        <v>1.0504698424449777E-9</v>
      </c>
      <c r="Y196" s="139">
        <f t="shared" si="7"/>
        <v>5.1195595176832116</v>
      </c>
      <c r="AA196" s="73"/>
      <c r="AB196" s="176"/>
      <c r="AC196" s="176"/>
      <c r="AD196" s="176"/>
      <c r="AJ196" s="135"/>
    </row>
    <row r="197" spans="9:36" x14ac:dyDescent="0.35">
      <c r="I197" s="109">
        <v>5.6393609833799999E-2</v>
      </c>
      <c r="J197" s="49">
        <v>1.0695927786551257E-9</v>
      </c>
      <c r="K197" s="49">
        <v>7.6702208407091134E-11</v>
      </c>
      <c r="L197" s="152">
        <v>1.5052521197144445E-9</v>
      </c>
      <c r="M197" s="33"/>
      <c r="R197" s="60">
        <v>1278.3173952520985</v>
      </c>
      <c r="S197" s="57">
        <v>3.0040950101556432E-6</v>
      </c>
      <c r="U197" s="127">
        <v>7.1525435257733197E-10</v>
      </c>
      <c r="V197" s="127">
        <v>1.5052521197144445E-9</v>
      </c>
      <c r="W197" s="127">
        <v>6.2992272914446322E-10</v>
      </c>
      <c r="X197" s="128">
        <f t="shared" si="6"/>
        <v>1.0889203302876711E-9</v>
      </c>
      <c r="Y197" s="139">
        <f t="shared" si="7"/>
        <v>6.3494769016334579E-2</v>
      </c>
      <c r="AA197" s="73"/>
      <c r="AB197" s="176"/>
      <c r="AC197" s="176"/>
      <c r="AD197" s="176"/>
      <c r="AJ197" s="135"/>
    </row>
    <row r="198" spans="9:36" x14ac:dyDescent="0.35">
      <c r="I198" s="109">
        <v>5.69575459321E-2</v>
      </c>
      <c r="J198" s="49">
        <v>7.469178698516413E-10</v>
      </c>
      <c r="K198" s="49">
        <v>6.3219580661082157E-11</v>
      </c>
      <c r="L198" s="152">
        <v>1.3492708956912118E-9</v>
      </c>
      <c r="M198" s="33"/>
      <c r="R198" s="60">
        <v>1278.7426170801173</v>
      </c>
      <c r="S198" s="57">
        <v>3.0040950101556432E-6</v>
      </c>
      <c r="U198" s="127">
        <v>1.1274059399522901E-9</v>
      </c>
      <c r="V198" s="127">
        <v>1.3492708956912118E-9</v>
      </c>
      <c r="W198" s="127">
        <v>3.1985827435861329E-10</v>
      </c>
      <c r="X198" s="128">
        <f t="shared" si="6"/>
        <v>1.0364515014233319E-9</v>
      </c>
      <c r="Y198" s="139">
        <f t="shared" si="7"/>
        <v>20.974654400544441</v>
      </c>
      <c r="AA198" s="73"/>
      <c r="AB198" s="176"/>
      <c r="AC198" s="176"/>
      <c r="AD198" s="176"/>
      <c r="AJ198" s="135"/>
    </row>
    <row r="199" spans="9:36" x14ac:dyDescent="0.35">
      <c r="I199" s="109">
        <v>5.7527121391400003E-2</v>
      </c>
      <c r="J199" s="49">
        <v>8.59881540523359E-10</v>
      </c>
      <c r="K199" s="49">
        <v>6.6368183662019208E-11</v>
      </c>
      <c r="L199" s="152">
        <v>9.8694761082027458E-10</v>
      </c>
      <c r="M199" s="33"/>
      <c r="R199" s="60">
        <v>1278.7426170801173</v>
      </c>
      <c r="S199" s="57">
        <v>2.9457277588835406E-6</v>
      </c>
      <c r="U199" s="127">
        <v>1.4449059670569794E-9</v>
      </c>
      <c r="V199" s="127">
        <v>9.8694761082027458E-10</v>
      </c>
      <c r="W199" s="127">
        <v>2.5510134095026871E-10</v>
      </c>
      <c r="X199" s="128">
        <f t="shared" si="6"/>
        <v>9.1847563241194926E-10</v>
      </c>
      <c r="Y199" s="139">
        <f t="shared" si="7"/>
        <v>0.7794491561163529</v>
      </c>
      <c r="AA199" s="73"/>
      <c r="AB199" s="176"/>
      <c r="AC199" s="176"/>
      <c r="AD199" s="176"/>
      <c r="AJ199" s="135"/>
    </row>
    <row r="200" spans="9:36" x14ac:dyDescent="0.35">
      <c r="I200" s="109">
        <v>5.81023926053E-2</v>
      </c>
      <c r="J200" s="49">
        <v>7.5626984830890458E-10</v>
      </c>
      <c r="K200" s="49">
        <v>6.4763993748156678E-11</v>
      </c>
      <c r="L200" s="152">
        <v>5.708601648404884E-10</v>
      </c>
      <c r="M200" s="33"/>
      <c r="R200" s="60">
        <v>1279.1097984893738</v>
      </c>
      <c r="S200" s="57">
        <v>2.9457277588835406E-6</v>
      </c>
      <c r="U200" s="127">
        <v>1.5352150475554868E-9</v>
      </c>
      <c r="V200" s="127">
        <v>5.708601648404884E-10</v>
      </c>
      <c r="W200" s="127">
        <v>4.766609676773133E-10</v>
      </c>
      <c r="X200" s="128">
        <f t="shared" si="6"/>
        <v>7.8839908622844411E-10</v>
      </c>
      <c r="Y200" s="139">
        <f t="shared" si="7"/>
        <v>0.24611246187935018</v>
      </c>
      <c r="AA200" s="73"/>
      <c r="AB200" s="176"/>
      <c r="AC200" s="176"/>
      <c r="AD200" s="176"/>
      <c r="AJ200" s="135"/>
    </row>
    <row r="201" spans="9:36" x14ac:dyDescent="0.35">
      <c r="I201" s="109">
        <v>5.8683416531400003E-2</v>
      </c>
      <c r="J201" s="49">
        <v>9.4811626608365793E-10</v>
      </c>
      <c r="K201" s="49">
        <v>7.2251460188161875E-11</v>
      </c>
      <c r="L201" s="152">
        <v>2.8563401825518311E-10</v>
      </c>
      <c r="M201" s="33"/>
      <c r="R201" s="60">
        <v>1279.1097984893738</v>
      </c>
      <c r="S201" s="57">
        <v>2.8866292127536489E-6</v>
      </c>
      <c r="U201" s="127">
        <v>1.3540673686327047E-9</v>
      </c>
      <c r="V201" s="127">
        <v>2.8563401825518311E-10</v>
      </c>
      <c r="W201" s="127">
        <v>8.9306734860228457E-10</v>
      </c>
      <c r="X201" s="128">
        <f t="shared" si="6"/>
        <v>7.0460068843633882E-10</v>
      </c>
      <c r="Y201" s="139">
        <f t="shared" si="7"/>
        <v>11.359526768973788</v>
      </c>
      <c r="AA201" s="73"/>
      <c r="AB201" s="176"/>
      <c r="AC201" s="176"/>
      <c r="AD201" s="176"/>
      <c r="AJ201" s="135"/>
    </row>
    <row r="202" spans="9:36" x14ac:dyDescent="0.35">
      <c r="I202" s="109">
        <v>5.92702506967E-2</v>
      </c>
      <c r="J202" s="49">
        <v>7.4272423893283761E-10</v>
      </c>
      <c r="K202" s="49">
        <v>6.7565320454117173E-11</v>
      </c>
      <c r="L202" s="152">
        <v>2.6868392662052696E-10</v>
      </c>
      <c r="M202" s="33"/>
      <c r="R202" s="60">
        <v>1279.4396533390614</v>
      </c>
      <c r="S202" s="57">
        <v>2.8866292127536489E-6</v>
      </c>
      <c r="U202" s="127">
        <v>9.7021044904107706E-10</v>
      </c>
      <c r="V202" s="127">
        <v>2.6868392662052696E-10</v>
      </c>
      <c r="W202" s="127">
        <v>1.3143749501946528E-9</v>
      </c>
      <c r="X202" s="128">
        <f t="shared" si="6"/>
        <v>7.0548831311919596E-10</v>
      </c>
      <c r="Y202" s="139">
        <f t="shared" si="7"/>
        <v>0.30372226567579946</v>
      </c>
      <c r="AA202" s="73"/>
      <c r="AB202" s="176"/>
      <c r="AC202" s="176"/>
      <c r="AD202" s="176"/>
      <c r="AJ202" s="135"/>
    </row>
    <row r="203" spans="9:36" x14ac:dyDescent="0.35">
      <c r="I203" s="109">
        <v>5.9862953203699998E-2</v>
      </c>
      <c r="J203" s="49">
        <v>9.1205784429061504E-10</v>
      </c>
      <c r="K203" s="49">
        <v>7.4686334487903223E-11</v>
      </c>
      <c r="L203" s="152">
        <v>5.3950808116005532E-10</v>
      </c>
      <c r="M203" s="33"/>
      <c r="R203" s="60">
        <v>1279.4396533390614</v>
      </c>
      <c r="S203" s="57">
        <v>2.8271863789471956E-6</v>
      </c>
      <c r="U203" s="127">
        <v>5.4609646728152789E-10</v>
      </c>
      <c r="V203" s="127">
        <v>5.3950808116005532E-10</v>
      </c>
      <c r="W203" s="127">
        <v>1.5373123499540595E-9</v>
      </c>
      <c r="X203" s="128">
        <f t="shared" si="6"/>
        <v>7.9060624488892448E-10</v>
      </c>
      <c r="Y203" s="139">
        <f t="shared" si="7"/>
        <v>2.6443819627201668</v>
      </c>
      <c r="AA203" s="73"/>
      <c r="AB203" s="176"/>
      <c r="AC203" s="176"/>
      <c r="AD203" s="176"/>
      <c r="AJ203" s="135"/>
    </row>
    <row r="204" spans="9:36" x14ac:dyDescent="0.35">
      <c r="I204" s="109">
        <v>6.0461582735700001E-2</v>
      </c>
      <c r="J204" s="49">
        <v>8.0123022169625604E-10</v>
      </c>
      <c r="K204" s="49">
        <v>7.107871500329518E-11</v>
      </c>
      <c r="L204" s="152">
        <v>9.8365563109064722E-10</v>
      </c>
      <c r="M204" s="33"/>
      <c r="R204" s="60">
        <v>1279.7447691987277</v>
      </c>
      <c r="S204" s="57">
        <v>2.8271863789471956E-6</v>
      </c>
      <c r="U204" s="127">
        <v>2.7089729064896092E-10</v>
      </c>
      <c r="V204" s="127">
        <v>9.8365563109064722E-10</v>
      </c>
      <c r="W204" s="127">
        <v>1.4465270682237386E-9</v>
      </c>
      <c r="X204" s="128">
        <f t="shared" si="6"/>
        <v>9.2118390526349843E-10</v>
      </c>
      <c r="Y204" s="139">
        <f t="shared" si="7"/>
        <v>2.8480528381857382</v>
      </c>
      <c r="AA204" s="73"/>
      <c r="AB204" s="176"/>
      <c r="AC204" s="176"/>
      <c r="AD204" s="176"/>
      <c r="AJ204" s="135"/>
    </row>
    <row r="205" spans="9:36" x14ac:dyDescent="0.35">
      <c r="I205" s="109">
        <v>6.1066198563099999E-2</v>
      </c>
      <c r="J205" s="49">
        <v>8.5221111792180469E-10</v>
      </c>
      <c r="K205" s="49">
        <v>7.2591840542361927E-11</v>
      </c>
      <c r="L205" s="152">
        <v>1.3971780080902327E-9</v>
      </c>
      <c r="M205" s="33"/>
      <c r="R205" s="60">
        <v>1279.7447691987277</v>
      </c>
      <c r="S205" s="57">
        <v>2.7675975824314361E-6</v>
      </c>
      <c r="U205" s="127">
        <v>2.770471112855023E-10</v>
      </c>
      <c r="V205" s="127">
        <v>1.3971780080902327E-9</v>
      </c>
      <c r="W205" s="127">
        <v>1.0795031355380868E-9</v>
      </c>
      <c r="X205" s="128">
        <f t="shared" si="6"/>
        <v>1.0377265657510136E-9</v>
      </c>
      <c r="Y205" s="139">
        <f t="shared" si="7"/>
        <v>6.5310730631798259</v>
      </c>
      <c r="AA205" s="73"/>
      <c r="AB205" s="176"/>
      <c r="AC205" s="176"/>
      <c r="AD205" s="176"/>
      <c r="AJ205" s="135"/>
    </row>
    <row r="206" spans="9:36" x14ac:dyDescent="0.35">
      <c r="I206" s="109">
        <v>6.1676860548700002E-2</v>
      </c>
      <c r="J206" s="49">
        <v>8.7822089510413671E-10</v>
      </c>
      <c r="K206" s="49">
        <v>7.8557684787195366E-11</v>
      </c>
      <c r="L206" s="152">
        <v>1.5798441264783621E-9</v>
      </c>
      <c r="M206" s="33"/>
      <c r="R206" s="60">
        <v>1280.0336646815974</v>
      </c>
      <c r="S206" s="57">
        <v>2.7675975824314361E-6</v>
      </c>
      <c r="U206" s="127">
        <v>5.7457276809976724E-10</v>
      </c>
      <c r="V206" s="127">
        <v>1.5798441264783621E-9</v>
      </c>
      <c r="W206" s="127">
        <v>6.1860640090267582E-10</v>
      </c>
      <c r="X206" s="128">
        <f t="shared" si="6"/>
        <v>1.0882168554897918E-9</v>
      </c>
      <c r="Y206" s="139">
        <f t="shared" si="7"/>
        <v>7.1456958940422881</v>
      </c>
      <c r="AA206" s="73"/>
      <c r="AB206" s="176"/>
      <c r="AC206" s="176"/>
      <c r="AD206" s="176"/>
      <c r="AJ206" s="135"/>
    </row>
    <row r="207" spans="9:36" x14ac:dyDescent="0.35">
      <c r="I207" s="109">
        <v>6.2293629154200003E-2</v>
      </c>
      <c r="J207" s="49">
        <v>9.3151873295076917E-10</v>
      </c>
      <c r="K207" s="49">
        <v>7.9853311227685282E-11</v>
      </c>
      <c r="L207" s="152">
        <v>1.4353636875414155E-9</v>
      </c>
      <c r="M207" s="33"/>
      <c r="R207" s="60">
        <v>1280.0336646815974</v>
      </c>
      <c r="S207" s="57">
        <v>2.7079582249476933E-6</v>
      </c>
      <c r="U207" s="127">
        <v>1.0370589789927675E-9</v>
      </c>
      <c r="V207" s="127">
        <v>1.4353636875414155E-9</v>
      </c>
      <c r="W207" s="127">
        <v>3.0574911894571241E-10</v>
      </c>
      <c r="X207" s="128">
        <f t="shared" si="6"/>
        <v>1.0533838682553276E-9</v>
      </c>
      <c r="Y207" s="139">
        <f t="shared" si="7"/>
        <v>2.3290193196018851</v>
      </c>
      <c r="AA207" s="73"/>
      <c r="AB207" s="176"/>
      <c r="AC207" s="176"/>
      <c r="AD207" s="176"/>
      <c r="AJ207" s="135"/>
    </row>
    <row r="208" spans="9:36" x14ac:dyDescent="0.35">
      <c r="I208" s="109">
        <v>6.2916565445699998E-2</v>
      </c>
      <c r="J208" s="49">
        <v>9.4255903983697424E-10</v>
      </c>
      <c r="K208" s="49">
        <v>8.1595042091650851E-11</v>
      </c>
      <c r="L208" s="152">
        <v>1.028146890044547E-9</v>
      </c>
      <c r="M208" s="33"/>
      <c r="R208" s="60">
        <v>1280.3126825072297</v>
      </c>
      <c r="S208" s="57">
        <v>2.7079582249476933E-6</v>
      </c>
      <c r="U208" s="127">
        <v>1.4520592915490487E-9</v>
      </c>
      <c r="V208" s="127">
        <v>1.028146890044547E-9</v>
      </c>
      <c r="W208" s="127">
        <v>3.1688998027250012E-10</v>
      </c>
      <c r="X208" s="128">
        <f t="shared" si="6"/>
        <v>9.5631076297766063E-10</v>
      </c>
      <c r="Y208" s="139">
        <f t="shared" si="7"/>
        <v>2.840447057132605E-2</v>
      </c>
      <c r="AA208" s="73"/>
      <c r="AB208" s="176"/>
      <c r="AC208" s="176"/>
      <c r="AD208" s="176"/>
      <c r="AJ208" s="135"/>
    </row>
    <row r="209" spans="9:36" x14ac:dyDescent="0.35">
      <c r="I209" s="109">
        <v>6.3545731100199995E-2</v>
      </c>
      <c r="J209" s="49">
        <v>7.9148202700957167E-10</v>
      </c>
      <c r="K209" s="49">
        <v>7.8695284697517029E-11</v>
      </c>
      <c r="L209" s="152">
        <v>5.6201154969462961E-10</v>
      </c>
      <c r="M209" s="33"/>
      <c r="R209" s="60">
        <v>1280.3126825072297</v>
      </c>
      <c r="S209" s="57">
        <v>2.648307200326823E-6</v>
      </c>
      <c r="U209" s="127">
        <v>1.6185613382184321E-9</v>
      </c>
      <c r="V209" s="127">
        <v>5.6201154969462961E-10</v>
      </c>
      <c r="W209" s="127">
        <v>6.608827464710085E-10</v>
      </c>
      <c r="X209" s="128">
        <f t="shared" si="6"/>
        <v>8.5086679601967492E-10</v>
      </c>
      <c r="Y209" s="139">
        <f t="shared" si="7"/>
        <v>0.56944622902144948</v>
      </c>
      <c r="AA209" s="73"/>
      <c r="AB209" s="176"/>
      <c r="AC209" s="176"/>
      <c r="AD209" s="176"/>
      <c r="AJ209" s="135"/>
    </row>
    <row r="210" spans="9:36" x14ac:dyDescent="0.35">
      <c r="I210" s="109">
        <v>6.4181188411200005E-2</v>
      </c>
      <c r="J210" s="49">
        <v>6.4136221064594479E-10</v>
      </c>
      <c r="K210" s="49">
        <v>7.6298653318142015E-11</v>
      </c>
      <c r="L210" s="153">
        <v>2.8312464934467788E-10</v>
      </c>
      <c r="M210" s="18"/>
      <c r="R210" s="60">
        <v>1280.5870133059591</v>
      </c>
      <c r="S210" s="57">
        <v>2.648307200326823E-6</v>
      </c>
      <c r="U210" s="127">
        <v>1.4480265541821484E-9</v>
      </c>
      <c r="V210" s="127">
        <v>2.8312464934467788E-10</v>
      </c>
      <c r="W210" s="127">
        <v>1.1622055576058675E-9</v>
      </c>
      <c r="X210" s="128">
        <f t="shared" si="6"/>
        <v>7.9412035261934294E-10</v>
      </c>
      <c r="Y210" s="139">
        <f t="shared" si="7"/>
        <v>4.0084363269424284</v>
      </c>
      <c r="AA210" s="73"/>
      <c r="AB210" s="176"/>
      <c r="AC210" s="176"/>
      <c r="AD210" s="176"/>
      <c r="AJ210" s="135"/>
    </row>
    <row r="211" spans="9:36" x14ac:dyDescent="0.35">
      <c r="I211" s="49">
        <v>6.4823000295299998E-2</v>
      </c>
      <c r="J211" s="49">
        <v>9.7591882422141575E-10</v>
      </c>
      <c r="K211" s="49">
        <v>9.6340493646145111E-11</v>
      </c>
      <c r="L211" s="153">
        <v>3.5092428617745766E-10</v>
      </c>
      <c r="M211" s="18"/>
      <c r="R211" s="60">
        <v>1280.5870133059591</v>
      </c>
      <c r="S211" s="57">
        <v>2.5886548756443814E-6</v>
      </c>
      <c r="U211" s="127">
        <v>1.0177933049086197E-9</v>
      </c>
      <c r="V211" s="127">
        <v>3.5092428617745766E-10</v>
      </c>
      <c r="W211" s="127">
        <v>1.5469655204808808E-9</v>
      </c>
      <c r="X211" s="128">
        <f t="shared" si="6"/>
        <v>8.1665184943610398E-10</v>
      </c>
      <c r="Y211" s="139">
        <f t="shared" si="7"/>
        <v>2.7329628433053741</v>
      </c>
      <c r="AA211" s="73"/>
      <c r="AB211" s="176"/>
      <c r="AC211" s="176"/>
      <c r="AD211" s="176"/>
      <c r="AJ211" s="135"/>
    </row>
    <row r="212" spans="9:36" x14ac:dyDescent="0.35">
      <c r="I212" s="49">
        <v>6.5471230298199998E-2</v>
      </c>
      <c r="J212" s="49">
        <v>9.2773021890354036E-10</v>
      </c>
      <c r="K212" s="49">
        <v>9.4196716197456115E-11</v>
      </c>
      <c r="L212" s="153">
        <v>7.444538718300664E-10</v>
      </c>
      <c r="M212" s="18"/>
      <c r="R212" s="60">
        <v>1280.8613441046884</v>
      </c>
      <c r="S212" s="57">
        <v>2.5886548756443814E-6</v>
      </c>
      <c r="U212" s="127">
        <v>5.4355175877230198E-10</v>
      </c>
      <c r="V212" s="127">
        <v>7.444538718300664E-10</v>
      </c>
      <c r="W212" s="127">
        <v>1.5938518504121775E-9</v>
      </c>
      <c r="X212" s="128">
        <f t="shared" si="6"/>
        <v>9.0657783821115304E-10</v>
      </c>
      <c r="Y212" s="139">
        <f t="shared" si="7"/>
        <v>5.0425124846534164E-2</v>
      </c>
      <c r="AA212" s="73"/>
      <c r="AB212" s="176"/>
      <c r="AC212" s="176"/>
      <c r="AD212" s="176"/>
      <c r="AJ212" s="135"/>
    </row>
    <row r="213" spans="9:36" x14ac:dyDescent="0.35">
      <c r="I213" s="49">
        <v>6.61259426012E-2</v>
      </c>
      <c r="J213" s="49">
        <v>1.0863240435629039E-9</v>
      </c>
      <c r="K213" s="49">
        <v>9.9991765271790055E-11</v>
      </c>
      <c r="L213" s="153">
        <v>1.2607133000399624E-9</v>
      </c>
      <c r="M213" s="18"/>
      <c r="R213" s="60">
        <v>1280.8613441046884</v>
      </c>
      <c r="S213" s="57">
        <v>2.529003851023511E-6</v>
      </c>
      <c r="U213" s="127">
        <v>2.7612344340691338E-10</v>
      </c>
      <c r="V213" s="127">
        <v>1.2607133000399624E-9</v>
      </c>
      <c r="W213" s="127">
        <v>1.2680422658477993E-9</v>
      </c>
      <c r="X213" s="128">
        <f t="shared" si="6"/>
        <v>1.0163980773336595E-9</v>
      </c>
      <c r="Y213" s="139">
        <f t="shared" si="7"/>
        <v>0.48904461498283408</v>
      </c>
      <c r="AA213" s="73"/>
      <c r="AB213" s="176"/>
      <c r="AC213" s="176"/>
      <c r="AD213" s="176"/>
      <c r="AJ213" s="135"/>
    </row>
    <row r="214" spans="9:36" x14ac:dyDescent="0.35">
      <c r="I214" s="49">
        <v>6.6787202027199996E-2</v>
      </c>
      <c r="J214" s="49">
        <v>9.8503801789960956E-10</v>
      </c>
      <c r="K214" s="49">
        <v>9.5918087669477043E-11</v>
      </c>
      <c r="L214" s="153">
        <v>1.6164276306407277E-9</v>
      </c>
      <c r="M214" s="18"/>
      <c r="R214" s="60">
        <v>1281.1403619303208</v>
      </c>
      <c r="S214" s="57">
        <v>2.529003851023511E-6</v>
      </c>
      <c r="U214" s="127">
        <v>3.695480634249747E-10</v>
      </c>
      <c r="V214" s="127">
        <v>1.6164276306407277E-9</v>
      </c>
      <c r="W214" s="127">
        <v>7.555037707860058E-10</v>
      </c>
      <c r="X214" s="128">
        <f t="shared" si="6"/>
        <v>1.089476773873109E-9</v>
      </c>
      <c r="Y214" s="139">
        <f t="shared" si="7"/>
        <v>1.1855567756716345</v>
      </c>
      <c r="AA214" s="73"/>
      <c r="AB214" s="176"/>
      <c r="AC214" s="176"/>
      <c r="AD214" s="176"/>
      <c r="AJ214" s="135"/>
    </row>
    <row r="215" spans="9:36" x14ac:dyDescent="0.35">
      <c r="I215" s="49">
        <v>6.7455074047499994E-2</v>
      </c>
      <c r="J215" s="49">
        <v>1.0583098470885091E-9</v>
      </c>
      <c r="K215" s="49">
        <v>9.8149255184890837E-11</v>
      </c>
      <c r="L215" s="153">
        <v>1.6057594130305128E-9</v>
      </c>
      <c r="M215" s="18"/>
      <c r="R215" s="60">
        <v>1281.1403619303208</v>
      </c>
      <c r="S215" s="57">
        <v>2.4693644935397682E-6</v>
      </c>
      <c r="U215" s="127">
        <v>7.8974817790195248E-10</v>
      </c>
      <c r="V215" s="127">
        <v>1.6057594130305128E-9</v>
      </c>
      <c r="W215" s="127">
        <v>3.6547265775207396E-10</v>
      </c>
      <c r="X215" s="128">
        <f t="shared" si="6"/>
        <v>1.091684915428763E-9</v>
      </c>
      <c r="Y215" s="139">
        <f t="shared" si="7"/>
        <v>0.11562994279378201</v>
      </c>
      <c r="AA215" s="73"/>
      <c r="AB215" s="176"/>
      <c r="AC215" s="176"/>
      <c r="AD215" s="176"/>
      <c r="AJ215" s="135"/>
    </row>
    <row r="216" spans="9:36" x14ac:dyDescent="0.35">
      <c r="I216" s="49">
        <v>6.8129624787999998E-2</v>
      </c>
      <c r="J216" s="49">
        <v>1.1329231977268496E-9</v>
      </c>
      <c r="K216" s="49">
        <v>1.0887870926802748E-10</v>
      </c>
      <c r="L216" s="153">
        <v>1.2269443366948636E-9</v>
      </c>
      <c r="M216" s="18"/>
      <c r="R216" s="60">
        <v>1281.4292574131905</v>
      </c>
      <c r="S216" s="57">
        <v>2.4693644935397682E-6</v>
      </c>
      <c r="U216" s="127">
        <v>1.3195872905532233E-9</v>
      </c>
      <c r="V216" s="127">
        <v>1.2269443366948636E-9</v>
      </c>
      <c r="W216" s="127">
        <v>3.4725999318974431E-10</v>
      </c>
      <c r="X216" s="128">
        <f t="shared" si="6"/>
        <v>1.0301839892831736E-9</v>
      </c>
      <c r="Y216" s="139">
        <f t="shared" si="7"/>
        <v>0.89040277166741211</v>
      </c>
      <c r="AA216" s="73"/>
      <c r="AB216" s="176"/>
      <c r="AC216" s="176"/>
      <c r="AD216" s="176"/>
      <c r="AJ216" s="135"/>
    </row>
    <row r="217" spans="9:36" x14ac:dyDescent="0.35">
      <c r="I217" s="49">
        <v>6.8810921035900002E-2</v>
      </c>
      <c r="J217" s="49">
        <v>1.2388897458788929E-9</v>
      </c>
      <c r="K217" s="49">
        <v>1.155867014645721E-10</v>
      </c>
      <c r="L217" s="153">
        <v>6.9806990218726874E-10</v>
      </c>
      <c r="M217" s="18"/>
      <c r="R217" s="60">
        <v>1281.4292574131905</v>
      </c>
      <c r="S217" s="57">
        <v>2.4097756970240088E-6</v>
      </c>
      <c r="U217" s="127">
        <v>1.6683993238264815E-9</v>
      </c>
      <c r="V217" s="127">
        <v>6.9806990218726874E-10</v>
      </c>
      <c r="W217" s="127">
        <v>7.2837988291379014E-10</v>
      </c>
      <c r="X217" s="128">
        <f t="shared" si="6"/>
        <v>9.482297527787022E-10</v>
      </c>
      <c r="Y217" s="139">
        <f t="shared" si="7"/>
        <v>6.3234600217415329</v>
      </c>
      <c r="AA217" s="73"/>
      <c r="AB217" s="176"/>
      <c r="AC217" s="176"/>
      <c r="AD217" s="176"/>
      <c r="AJ217" s="135"/>
    </row>
    <row r="218" spans="9:36" x14ac:dyDescent="0.35">
      <c r="I218" s="49">
        <v>6.9499030246199994E-2</v>
      </c>
      <c r="J218" s="49">
        <v>7.139653641312091E-10</v>
      </c>
      <c r="K218" s="49">
        <v>8.8699456871693861E-11</v>
      </c>
      <c r="L218" s="153">
        <v>3.3986830702464478E-10</v>
      </c>
      <c r="M218" s="18"/>
      <c r="R218" s="60">
        <v>1281.7343732728568</v>
      </c>
      <c r="S218" s="57">
        <v>2.4097756970240088E-6</v>
      </c>
      <c r="U218" s="127">
        <v>1.6342210169963454E-9</v>
      </c>
      <c r="V218" s="127">
        <v>3.3986830702464478E-10</v>
      </c>
      <c r="W218" s="127">
        <v>1.2812583156033286E-9</v>
      </c>
      <c r="X218" s="128">
        <f t="shared" si="6"/>
        <v>8.9880398666224085E-10</v>
      </c>
      <c r="Y218" s="139">
        <f t="shared" si="7"/>
        <v>4.3425369816937147</v>
      </c>
      <c r="AA218" s="73"/>
      <c r="AB218" s="176"/>
      <c r="AC218" s="176"/>
      <c r="AD218" s="176"/>
      <c r="AJ218" s="135"/>
    </row>
    <row r="219" spans="9:36" x14ac:dyDescent="0.35">
      <c r="I219" s="49">
        <v>7.0194020548699998E-2</v>
      </c>
      <c r="J219" s="49">
        <v>1.0161876419602805E-9</v>
      </c>
      <c r="K219" s="49">
        <v>1.0386118537589056E-10</v>
      </c>
      <c r="L219" s="153">
        <v>3.8386020331021331E-10</v>
      </c>
      <c r="M219" s="18"/>
      <c r="R219" s="60">
        <v>1281.7343732728568</v>
      </c>
      <c r="S219" s="57">
        <v>2.350332863217555E-6</v>
      </c>
      <c r="U219" s="127">
        <v>1.2288007887155295E-9</v>
      </c>
      <c r="V219" s="127">
        <v>3.8386020331021331E-10</v>
      </c>
      <c r="W219" s="127">
        <v>1.6546661481720719E-9</v>
      </c>
      <c r="X219" s="128">
        <f t="shared" si="6"/>
        <v>9.1279683587700703E-10</v>
      </c>
      <c r="Y219" s="139">
        <f t="shared" si="7"/>
        <v>0.99096266550083745</v>
      </c>
      <c r="AA219" s="73"/>
      <c r="AB219" s="176"/>
      <c r="AC219" s="176"/>
      <c r="AD219" s="176"/>
      <c r="AJ219" s="135"/>
    </row>
    <row r="220" spans="9:36" x14ac:dyDescent="0.35">
      <c r="I220" s="49">
        <v>7.0895960754200002E-2</v>
      </c>
      <c r="J220" s="49">
        <v>9.5341318504168384E-10</v>
      </c>
      <c r="K220" s="49">
        <v>1.0241954223146109E-10</v>
      </c>
      <c r="L220" s="153">
        <v>8.1962814845567222E-10</v>
      </c>
      <c r="M220" s="18"/>
      <c r="R220" s="60">
        <v>1282.0642281225444</v>
      </c>
      <c r="S220" s="57">
        <v>2.350332863217555E-6</v>
      </c>
      <c r="U220" s="127">
        <v>6.8598799792706079E-10</v>
      </c>
      <c r="V220" s="127">
        <v>8.1962814845567222E-10</v>
      </c>
      <c r="W220" s="127">
        <v>1.5996734964744913E-9</v>
      </c>
      <c r="X220" s="128">
        <f t="shared" si="6"/>
        <v>9.8122944782822423E-10</v>
      </c>
      <c r="Y220" s="139">
        <f t="shared" si="7"/>
        <v>7.3761866939722698E-2</v>
      </c>
      <c r="AA220" s="73"/>
      <c r="AB220" s="176"/>
      <c r="AC220" s="176"/>
      <c r="AD220" s="176"/>
      <c r="AJ220" s="135"/>
    </row>
    <row r="221" spans="9:36" x14ac:dyDescent="0.35">
      <c r="I221" s="49">
        <v>7.1604920361700006E-2</v>
      </c>
      <c r="J221" s="49">
        <v>1.0154433653727209E-9</v>
      </c>
      <c r="K221" s="49">
        <v>1.1202046116489744E-10</v>
      </c>
      <c r="L221" s="153">
        <v>1.3845518402641439E-9</v>
      </c>
      <c r="M221" s="18"/>
      <c r="R221" s="60">
        <v>1282.0642281225444</v>
      </c>
      <c r="S221" s="57">
        <v>2.2912343170876637E-6</v>
      </c>
      <c r="U221" s="127">
        <v>3.3526310047067626E-10</v>
      </c>
      <c r="V221" s="127">
        <v>1.3845518402641439E-9</v>
      </c>
      <c r="W221" s="127">
        <v>1.1459959539571478E-9</v>
      </c>
      <c r="X221" s="128">
        <f t="shared" si="6"/>
        <v>1.0625906837390279E-9</v>
      </c>
      <c r="Y221" s="139">
        <f t="shared" si="7"/>
        <v>0.17714107653938641</v>
      </c>
      <c r="AA221" s="73"/>
      <c r="AB221" s="176"/>
      <c r="AC221" s="176"/>
      <c r="AD221" s="176"/>
      <c r="AJ221" s="135"/>
    </row>
    <row r="222" spans="9:36" x14ac:dyDescent="0.35">
      <c r="I222" s="49">
        <v>7.23209695653E-2</v>
      </c>
      <c r="J222" s="49">
        <v>9.618791898226104E-10</v>
      </c>
      <c r="K222" s="49">
        <v>1.0920716303397603E-10</v>
      </c>
      <c r="L222" s="153">
        <v>1.7184834065204878E-9</v>
      </c>
      <c r="M222" s="18"/>
      <c r="R222" s="60">
        <v>1282.4314095318009</v>
      </c>
      <c r="S222" s="57">
        <v>2.2912343170876637E-6</v>
      </c>
      <c r="U222" s="127">
        <v>4.0422243215885004E-10</v>
      </c>
      <c r="V222" s="127">
        <v>1.7184834065204878E-9</v>
      </c>
      <c r="W222" s="127">
        <v>6.0061770197838807E-10</v>
      </c>
      <c r="X222" s="128">
        <f t="shared" si="6"/>
        <v>1.1104517367945535E-9</v>
      </c>
      <c r="Y222" s="139">
        <f t="shared" si="7"/>
        <v>1.8508656120727438</v>
      </c>
      <c r="AA222" s="73"/>
      <c r="AB222" s="176"/>
      <c r="AC222" s="176"/>
      <c r="AD222" s="176"/>
      <c r="AJ222" s="135"/>
    </row>
    <row r="223" spans="9:36" x14ac:dyDescent="0.35">
      <c r="I223" s="49">
        <v>7.3044179261E-2</v>
      </c>
      <c r="J223" s="49">
        <v>1.0219590402255013E-9</v>
      </c>
      <c r="K223" s="49">
        <v>1.0909328215096269E-10</v>
      </c>
      <c r="L223" s="153">
        <v>1.5975448931922731E-9</v>
      </c>
      <c r="M223" s="18"/>
      <c r="R223" s="60">
        <v>1282.4314095318009</v>
      </c>
      <c r="S223" s="57">
        <v>2.2328670658155611E-6</v>
      </c>
      <c r="U223" s="127">
        <v>8.6763749062524122E-10</v>
      </c>
      <c r="V223" s="127">
        <v>1.5975448931922731E-9</v>
      </c>
      <c r="W223" s="127">
        <v>3.5035258574565315E-10</v>
      </c>
      <c r="X223" s="128">
        <f t="shared" si="6"/>
        <v>1.1032699656888601E-9</v>
      </c>
      <c r="Y223" s="139">
        <f t="shared" si="7"/>
        <v>0.55552267733688498</v>
      </c>
      <c r="AA223" s="73"/>
      <c r="AB223" s="176"/>
      <c r="AC223" s="176"/>
      <c r="AD223" s="176"/>
      <c r="AJ223" s="135"/>
    </row>
    <row r="224" spans="9:36" x14ac:dyDescent="0.35">
      <c r="I224" s="49">
        <v>7.3774621053599998E-2</v>
      </c>
      <c r="J224" s="49">
        <v>1.0774936992679217E-9</v>
      </c>
      <c r="K224" s="49">
        <v>1.1123608521475528E-10</v>
      </c>
      <c r="L224" s="153">
        <v>1.095826900262458E-9</v>
      </c>
      <c r="M224" s="18"/>
      <c r="R224" s="60">
        <v>1282.8566313598196</v>
      </c>
      <c r="S224" s="57">
        <v>2.2328670658155611E-6</v>
      </c>
      <c r="U224" s="127">
        <v>1.4459578891779435E-9</v>
      </c>
      <c r="V224" s="127">
        <v>1.095826900262458E-9</v>
      </c>
      <c r="W224" s="127">
        <v>5.8956206227639883E-10</v>
      </c>
      <c r="X224" s="128">
        <f t="shared" si="6"/>
        <v>1.0567934379948146E-9</v>
      </c>
      <c r="Y224" s="139">
        <f t="shared" si="7"/>
        <v>3.4630619595979628E-2</v>
      </c>
      <c r="AA224" s="73"/>
      <c r="AB224" s="176"/>
      <c r="AC224" s="176"/>
      <c r="AD224" s="176"/>
      <c r="AJ224" s="135"/>
    </row>
    <row r="225" spans="9:36" x14ac:dyDescent="0.35">
      <c r="I225" s="49">
        <v>7.4512367264100002E-2</v>
      </c>
      <c r="J225" s="49">
        <v>7.794359102764716E-10</v>
      </c>
      <c r="K225" s="49">
        <v>1.0285863825848468E-10</v>
      </c>
      <c r="L225" s="153">
        <v>5.5457868766519041E-10</v>
      </c>
      <c r="M225" s="18"/>
      <c r="R225" s="60">
        <v>1282.8566313598196</v>
      </c>
      <c r="S225" s="57">
        <v>2.1759803694154263E-6</v>
      </c>
      <c r="U225" s="127">
        <v>1.7707150797256894E-9</v>
      </c>
      <c r="V225" s="127">
        <v>5.5457868766519041E-10</v>
      </c>
      <c r="W225" s="127">
        <v>1.1650195919153926E-9</v>
      </c>
      <c r="X225" s="128">
        <f t="shared" si="6"/>
        <v>1.0112230117428657E-9</v>
      </c>
      <c r="Y225" s="139">
        <f t="shared" si="7"/>
        <v>5.0780501825204327</v>
      </c>
      <c r="AA225" s="73"/>
      <c r="AB225" s="176"/>
      <c r="AC225" s="176"/>
      <c r="AD225" s="176"/>
      <c r="AJ225" s="135"/>
    </row>
    <row r="226" spans="9:36" x14ac:dyDescent="0.35">
      <c r="I226" s="49">
        <v>7.5257490936799995E-2</v>
      </c>
      <c r="J226" s="49">
        <v>9.2200160620545831E-10</v>
      </c>
      <c r="K226" s="49">
        <v>1.1510757362410412E-10</v>
      </c>
      <c r="L226" s="153">
        <v>3.5981676679549723E-10</v>
      </c>
      <c r="M226" s="18"/>
      <c r="R226" s="60">
        <v>1283.3791540696864</v>
      </c>
      <c r="S226" s="57">
        <v>2.1759803694154263E-6</v>
      </c>
      <c r="U226" s="127">
        <v>1.624158172658526E-9</v>
      </c>
      <c r="V226" s="127">
        <v>3.5981676679549723E-10</v>
      </c>
      <c r="W226" s="127">
        <v>1.6665293704295012E-9</v>
      </c>
      <c r="X226" s="128">
        <f t="shared" si="6"/>
        <v>1.0025802691697555E-9</v>
      </c>
      <c r="Y226" s="139">
        <f t="shared" si="7"/>
        <v>0.49004088433460941</v>
      </c>
      <c r="AA226" s="73"/>
      <c r="AB226" s="176"/>
      <c r="AC226" s="176"/>
      <c r="AD226" s="176"/>
      <c r="AJ226" s="135"/>
    </row>
    <row r="227" spans="9:36" x14ac:dyDescent="0.35">
      <c r="I227" s="49">
        <v>7.6010065846099997E-2</v>
      </c>
      <c r="J227" s="49">
        <v>9.9667071169082385E-10</v>
      </c>
      <c r="K227" s="49">
        <v>1.1627581991011985E-10</v>
      </c>
      <c r="L227" s="153">
        <v>6.6813746142577078E-10</v>
      </c>
      <c r="M227" s="18"/>
      <c r="R227" s="60">
        <v>1283.3791540696864</v>
      </c>
      <c r="S227" s="57">
        <v>2.122077222193745E-6</v>
      </c>
      <c r="U227" s="127">
        <v>1.0975795336312485E-9</v>
      </c>
      <c r="V227" s="127">
        <v>6.6813746142577078E-10</v>
      </c>
      <c r="W227" s="127">
        <v>1.7204833275514006E-9</v>
      </c>
      <c r="X227" s="128">
        <f t="shared" si="6"/>
        <v>1.0385844460085476E-9</v>
      </c>
      <c r="Y227" s="139">
        <f t="shared" si="7"/>
        <v>0.12993731584040291</v>
      </c>
      <c r="AA227" s="73"/>
      <c r="AB227" s="176"/>
      <c r="AC227" s="176"/>
      <c r="AD227" s="176"/>
      <c r="AJ227" s="135"/>
    </row>
    <row r="228" spans="9:36" x14ac:dyDescent="0.35">
      <c r="I228" s="49">
        <v>7.6770166504600001E-2</v>
      </c>
      <c r="J228" s="49">
        <v>1.1349629313257606E-9</v>
      </c>
      <c r="K228" s="49">
        <v>1.2790389639156434E-10</v>
      </c>
      <c r="L228" s="153">
        <v>1.2766819014675505E-9</v>
      </c>
      <c r="M228" s="18"/>
      <c r="R228" s="60">
        <v>1284.0923312577099</v>
      </c>
      <c r="S228" s="57">
        <v>2.122077222193745E-6</v>
      </c>
      <c r="U228" s="127">
        <v>5.4940534597591794E-10</v>
      </c>
      <c r="V228" s="127">
        <v>1.2766819014675505E-9</v>
      </c>
      <c r="W228" s="127">
        <v>1.2803822367725453E-9</v>
      </c>
      <c r="X228" s="128">
        <f t="shared" si="6"/>
        <v>1.095787846420891E-9</v>
      </c>
      <c r="Y228" s="139">
        <f t="shared" si="7"/>
        <v>9.3810692790253072E-2</v>
      </c>
      <c r="AA228" s="73"/>
      <c r="AB228" s="176"/>
      <c r="AC228" s="176"/>
      <c r="AD228" s="176"/>
      <c r="AJ228" s="135"/>
    </row>
    <row r="229" spans="9:36" x14ac:dyDescent="0.35">
      <c r="I229" s="49">
        <v>7.7537868169599997E-2</v>
      </c>
      <c r="J229" s="49">
        <v>1.2504179669492634E-9</v>
      </c>
      <c r="K229" s="49">
        <v>1.3791324414488229E-10</v>
      </c>
      <c r="L229" s="153">
        <v>1.7499882148088289E-9</v>
      </c>
      <c r="M229" s="18"/>
      <c r="R229" s="60">
        <v>1284.0923312577099</v>
      </c>
      <c r="S229" s="57">
        <v>2.0744407616936602E-6</v>
      </c>
      <c r="U229" s="127">
        <v>3.7098544506272464E-10</v>
      </c>
      <c r="V229" s="127">
        <v>1.7499882148088289E-9</v>
      </c>
      <c r="W229" s="127">
        <v>6.8488578655868883E-10</v>
      </c>
      <c r="X229" s="128">
        <f t="shared" si="6"/>
        <v>1.1389619153097679E-9</v>
      </c>
      <c r="Y229" s="139">
        <f t="shared" si="7"/>
        <v>0.65312357301221324</v>
      </c>
      <c r="AA229" s="73"/>
      <c r="AB229" s="176"/>
      <c r="AC229" s="176"/>
      <c r="AD229" s="176"/>
      <c r="AJ229" s="135"/>
    </row>
    <row r="230" spans="9:36" x14ac:dyDescent="0.35">
      <c r="I230" s="49">
        <v>7.8313246851300006E-2</v>
      </c>
      <c r="J230" s="49">
        <v>1.2115104144989413E-9</v>
      </c>
      <c r="K230" s="49">
        <v>1.3275388273186615E-10</v>
      </c>
      <c r="L230" s="153">
        <v>1.7344472120190438E-9</v>
      </c>
      <c r="M230" s="27"/>
      <c r="R230" s="60">
        <v>1285.3739201330839</v>
      </c>
      <c r="S230" s="57">
        <v>2.0744407616936602E-6</v>
      </c>
      <c r="U230" s="127">
        <v>7.0813126808453755E-10</v>
      </c>
      <c r="V230" s="127">
        <v>1.7344472120190438E-9</v>
      </c>
      <c r="W230" s="127">
        <v>4.1238369883272074E-10</v>
      </c>
      <c r="X230" s="128">
        <f t="shared" si="6"/>
        <v>1.1473523477388363E-9</v>
      </c>
      <c r="Y230" s="139">
        <f t="shared" si="7"/>
        <v>0.23356516696391877</v>
      </c>
      <c r="AA230" s="73"/>
      <c r="AB230" s="176"/>
      <c r="AC230" s="176"/>
      <c r="AD230" s="176"/>
      <c r="AJ230" s="135"/>
    </row>
    <row r="231" spans="9:36" x14ac:dyDescent="0.35">
      <c r="I231" s="49">
        <v>7.90963793198E-2</v>
      </c>
      <c r="J231" s="49">
        <v>1.1034540047213199E-9</v>
      </c>
      <c r="K231" s="49">
        <v>1.3172592352731606E-10</v>
      </c>
      <c r="L231" s="153">
        <v>1.2364657733893979E-9</v>
      </c>
      <c r="M231" s="27"/>
      <c r="R231" s="60">
        <v>1285.3739201330839</v>
      </c>
      <c r="S231" s="57">
        <v>2.0415119569740252E-6</v>
      </c>
      <c r="U231" s="127">
        <v>1.3380517932488402E-9</v>
      </c>
      <c r="V231" s="127">
        <v>1.2364657733893979E-9</v>
      </c>
      <c r="W231" s="127">
        <v>7.0093919468643774E-10</v>
      </c>
      <c r="X231" s="128">
        <f t="shared" si="6"/>
        <v>1.1279806336785185E-9</v>
      </c>
      <c r="Y231" s="139">
        <f t="shared" si="7"/>
        <v>3.4668353634659338E-2</v>
      </c>
      <c r="AA231" s="73"/>
      <c r="AB231" s="176"/>
      <c r="AC231" s="176"/>
      <c r="AD231" s="176"/>
      <c r="AJ231" s="135"/>
    </row>
    <row r="232" spans="9:36" x14ac:dyDescent="0.35">
      <c r="I232" s="49">
        <v>7.9887343112999998E-2</v>
      </c>
      <c r="J232" s="49">
        <v>1.1518058220631948E-9</v>
      </c>
      <c r="K232" s="49">
        <v>1.3763985955945948E-10</v>
      </c>
      <c r="L232" s="153">
        <v>6.4107208853901297E-10</v>
      </c>
      <c r="M232" s="27"/>
      <c r="R232" s="60">
        <v>1287.095001721158</v>
      </c>
      <c r="S232" s="57">
        <v>2.0415119569740252E-6</v>
      </c>
      <c r="U232" s="127">
        <v>1.8102717712421143E-9</v>
      </c>
      <c r="V232" s="127">
        <v>6.4107208853901297E-10</v>
      </c>
      <c r="W232" s="127">
        <v>1.3357795461473593E-9</v>
      </c>
      <c r="X232" s="128">
        <f t="shared" si="6"/>
        <v>1.1070488736168749E-9</v>
      </c>
      <c r="Y232" s="139">
        <f t="shared" si="7"/>
        <v>0.10573834173832615</v>
      </c>
      <c r="AA232" s="73"/>
      <c r="AB232" s="176"/>
      <c r="AC232" s="176"/>
      <c r="AD232" s="176"/>
      <c r="AJ232" s="135"/>
    </row>
    <row r="233" spans="9:36" x14ac:dyDescent="0.35">
      <c r="I233" s="49">
        <v>8.0686216544199996E-2</v>
      </c>
      <c r="J233" s="49">
        <v>1.0621761616271065E-9</v>
      </c>
      <c r="K233" s="49">
        <v>1.4048118507340049E-10</v>
      </c>
      <c r="L233" s="153">
        <v>4.2881828216441719E-10</v>
      </c>
      <c r="M233" s="27"/>
      <c r="R233" s="60">
        <v>1287.095001721158</v>
      </c>
      <c r="S233" s="57">
        <v>2.0369620759712045E-6</v>
      </c>
      <c r="U233" s="127">
        <v>1.7723886925187011E-9</v>
      </c>
      <c r="V233" s="127">
        <v>4.2881828216441719E-10</v>
      </c>
      <c r="W233" s="127">
        <v>1.8015174281645422E-9</v>
      </c>
      <c r="X233" s="128">
        <f t="shared" si="6"/>
        <v>1.1078856712530193E-9</v>
      </c>
      <c r="Y233" s="139">
        <f t="shared" si="7"/>
        <v>0.10587094752431865</v>
      </c>
      <c r="AA233" s="73"/>
      <c r="AB233" s="176"/>
      <c r="AC233" s="176"/>
      <c r="AD233" s="176"/>
      <c r="AJ233" s="135"/>
    </row>
    <row r="234" spans="9:36" x14ac:dyDescent="0.35">
      <c r="I234" s="49">
        <v>8.14930787096E-2</v>
      </c>
      <c r="J234" s="49">
        <v>9.7838714263567769E-10</v>
      </c>
      <c r="K234" s="49">
        <v>1.3006799078143188E-10</v>
      </c>
      <c r="L234" s="153">
        <v>7.9095350725363501E-10</v>
      </c>
      <c r="M234" s="27"/>
      <c r="R234" s="60">
        <v>1387.095001721158</v>
      </c>
      <c r="S234" s="57">
        <v>2.0369620759712045E-6</v>
      </c>
      <c r="U234" s="127">
        <v>1.248005538908112E-9</v>
      </c>
      <c r="V234" s="127">
        <v>7.9095350725363501E-10</v>
      </c>
      <c r="W234" s="127">
        <v>1.7052090157753178E-9</v>
      </c>
      <c r="X234" s="128">
        <f t="shared" si="6"/>
        <v>1.133780392297675E-9</v>
      </c>
      <c r="Y234" s="139">
        <f t="shared" si="7"/>
        <v>1.4273268476175438</v>
      </c>
      <c r="AA234" s="73"/>
      <c r="AB234" s="176"/>
      <c r="AC234" s="176"/>
      <c r="AD234" s="176"/>
      <c r="AJ234" s="135"/>
    </row>
    <row r="235" spans="9:36" x14ac:dyDescent="0.35">
      <c r="I235" s="49">
        <v>8.2308009496700002E-2</v>
      </c>
      <c r="J235" s="49">
        <v>1.4175812605270282E-9</v>
      </c>
      <c r="K235" s="49">
        <v>1.6262137213704867E-10</v>
      </c>
      <c r="L235" s="153">
        <v>1.4525654751472066E-9</v>
      </c>
      <c r="M235" s="27"/>
      <c r="U235" s="127">
        <v>6.4281734384513284E-10</v>
      </c>
      <c r="V235" s="127">
        <v>1.4525654751472066E-9</v>
      </c>
      <c r="W235" s="127">
        <v>1.1267868158246629E-9</v>
      </c>
      <c r="X235" s="128">
        <f t="shared" si="6"/>
        <v>1.1686837774910522E-9</v>
      </c>
      <c r="Y235" s="139">
        <f t="shared" si="7"/>
        <v>2.3425332682960214</v>
      </c>
      <c r="AA235" s="73"/>
      <c r="AB235" s="176"/>
      <c r="AC235" s="176"/>
      <c r="AD235" s="176"/>
      <c r="AJ235" s="135"/>
    </row>
    <row r="236" spans="9:36" x14ac:dyDescent="0.35">
      <c r="I236" s="49">
        <v>8.31310895917E-2</v>
      </c>
      <c r="J236" s="49">
        <v>1.418367013270071E-9</v>
      </c>
      <c r="K236" s="49">
        <v>1.5946145579301656E-10</v>
      </c>
      <c r="L236" s="153">
        <v>1.8748461602122569E-9</v>
      </c>
      <c r="M236" s="27"/>
      <c r="U236" s="127">
        <v>4.4553391990532313E-10</v>
      </c>
      <c r="V236" s="127">
        <v>1.8748461602122569E-9</v>
      </c>
      <c r="W236" s="127">
        <v>5.7690607492154152E-10</v>
      </c>
      <c r="X236" s="128">
        <f t="shared" si="6"/>
        <v>1.1930330788128445E-9</v>
      </c>
      <c r="Y236" s="139">
        <f t="shared" si="7"/>
        <v>1.9968330230848592</v>
      </c>
      <c r="AA236" s="73"/>
      <c r="AB236" s="176"/>
      <c r="AC236" s="176"/>
      <c r="AD236" s="176"/>
      <c r="AJ236" s="135"/>
    </row>
    <row r="237" spans="9:36" x14ac:dyDescent="0.35">
      <c r="I237" s="49">
        <v>8.3962400487599995E-2</v>
      </c>
      <c r="J237" s="49">
        <v>1.0248268662765856E-9</v>
      </c>
      <c r="K237" s="49">
        <v>1.4089365527547564E-10</v>
      </c>
      <c r="L237" s="153">
        <v>1.7007734977095189E-9</v>
      </c>
      <c r="M237" s="27"/>
      <c r="U237" s="127">
        <v>8.3608854503407052E-10</v>
      </c>
      <c r="V237" s="127">
        <v>1.7007734977095189E-9</v>
      </c>
      <c r="W237" s="127">
        <v>5.6125841614361613E-10</v>
      </c>
      <c r="X237" s="128">
        <f t="shared" si="6"/>
        <v>1.1997234891491812E-9</v>
      </c>
      <c r="Y237" s="139">
        <f t="shared" si="7"/>
        <v>1.5409195830294069</v>
      </c>
      <c r="AA237" s="73"/>
      <c r="AB237" s="176"/>
      <c r="AC237" s="176"/>
      <c r="AD237" s="176"/>
      <c r="AJ237" s="135"/>
    </row>
    <row r="238" spans="9:36" x14ac:dyDescent="0.35">
      <c r="I238" s="49">
        <v>8.4802024492500003E-2</v>
      </c>
      <c r="J238" s="49">
        <v>1.0874174793618075E-9</v>
      </c>
      <c r="K238" s="49">
        <v>1.5113856593392491E-10</v>
      </c>
      <c r="L238" s="153">
        <v>1.0779227115079718E-9</v>
      </c>
      <c r="M238" s="27"/>
      <c r="U238" s="127">
        <v>1.5171846125264524E-9</v>
      </c>
      <c r="V238" s="127">
        <v>1.0779227115079718E-9</v>
      </c>
      <c r="W238" s="127">
        <v>1.1150061754647581E-9</v>
      </c>
      <c r="X238" s="128">
        <f t="shared" si="6"/>
        <v>1.1970090527517885E-9</v>
      </c>
      <c r="Y238" s="139">
        <f t="shared" si="7"/>
        <v>0.52577959783628103</v>
      </c>
      <c r="AA238" s="73"/>
      <c r="AB238" s="176"/>
      <c r="AC238" s="176"/>
      <c r="AD238" s="176"/>
      <c r="AJ238" s="135"/>
    </row>
    <row r="239" spans="9:36" x14ac:dyDescent="0.35">
      <c r="I239" s="49">
        <v>8.5650044737399997E-2</v>
      </c>
      <c r="J239" s="49">
        <v>1.2053875027117749E-9</v>
      </c>
      <c r="K239" s="49">
        <v>1.5592159791390518E-10</v>
      </c>
      <c r="L239" s="153">
        <v>5.5795794891090978E-10</v>
      </c>
      <c r="M239" s="27"/>
      <c r="U239" s="127">
        <v>1.9345630994318925E-9</v>
      </c>
      <c r="V239" s="127">
        <v>5.5795794891090978E-10</v>
      </c>
      <c r="W239" s="127">
        <v>1.742360091832624E-9</v>
      </c>
      <c r="X239" s="128">
        <f t="shared" si="6"/>
        <v>1.1982097722715841E-9</v>
      </c>
      <c r="Y239" s="139">
        <f t="shared" si="7"/>
        <v>2.1191501780824197E-3</v>
      </c>
      <c r="AA239" s="73"/>
      <c r="AB239" s="176"/>
      <c r="AC239" s="176"/>
      <c r="AD239" s="176"/>
      <c r="AJ239" s="135"/>
    </row>
    <row r="240" spans="9:36" x14ac:dyDescent="0.35">
      <c r="I240" s="49">
        <v>8.6506545184799999E-2</v>
      </c>
      <c r="J240" s="49">
        <v>1.1579816154827823E-9</v>
      </c>
      <c r="K240" s="49">
        <v>1.5871206778486218E-10</v>
      </c>
      <c r="L240" s="153">
        <v>6.2194465207009906E-10</v>
      </c>
      <c r="M240" s="27"/>
      <c r="U240" s="127">
        <v>1.7358696536723134E-9</v>
      </c>
      <c r="V240" s="127">
        <v>6.2194465207009906E-10</v>
      </c>
      <c r="W240" s="127">
        <v>1.8586562151030672E-9</v>
      </c>
      <c r="X240" s="128">
        <f t="shared" si="6"/>
        <v>1.2096037932288947E-9</v>
      </c>
      <c r="Y240" s="139">
        <f t="shared" si="7"/>
        <v>0.10579197962204426</v>
      </c>
      <c r="AA240" s="73"/>
      <c r="AB240" s="176"/>
      <c r="AC240" s="176"/>
      <c r="AD240" s="176"/>
      <c r="AJ240" s="135"/>
    </row>
    <row r="241" spans="9:36" x14ac:dyDescent="0.35">
      <c r="I241" s="49">
        <v>8.7371610636599997E-2</v>
      </c>
      <c r="J241" s="49">
        <v>1.0031836613277277E-9</v>
      </c>
      <c r="K241" s="49">
        <v>7.179950909559488E-11</v>
      </c>
      <c r="L241" s="153">
        <v>1.2334043369358587E-9</v>
      </c>
      <c r="M241" s="27"/>
      <c r="U241" s="127">
        <v>1.0901961648825577E-9</v>
      </c>
      <c r="V241" s="127">
        <v>1.2334043369358587E-9</v>
      </c>
      <c r="W241" s="127">
        <v>1.352855538165867E-9</v>
      </c>
      <c r="X241" s="128">
        <f t="shared" si="6"/>
        <v>1.2274650942300355E-9</v>
      </c>
      <c r="Y241" s="139">
        <f t="shared" si="7"/>
        <v>9.7576153572781479</v>
      </c>
      <c r="AA241" s="73"/>
      <c r="AB241" s="176"/>
      <c r="AC241" s="176"/>
      <c r="AD241" s="176"/>
      <c r="AJ241" s="135"/>
    </row>
    <row r="242" spans="9:36" x14ac:dyDescent="0.35">
      <c r="I242" s="49">
        <v>8.8245326742999994E-2</v>
      </c>
      <c r="J242" s="49">
        <v>1.2132732726973586E-9</v>
      </c>
      <c r="K242" s="49">
        <v>7.7900271473727608E-11</v>
      </c>
      <c r="L242" s="153">
        <v>1.842438718780458E-9</v>
      </c>
      <c r="M242" s="27"/>
      <c r="U242" s="127">
        <v>5.6949091171877035E-10</v>
      </c>
      <c r="V242" s="127">
        <v>1.842438718780458E-9</v>
      </c>
      <c r="W242" s="127">
        <v>7.2438752459221863E-10</v>
      </c>
      <c r="X242" s="128">
        <f t="shared" si="6"/>
        <v>1.2446889684679762E-9</v>
      </c>
      <c r="Y242" s="139">
        <f t="shared" si="7"/>
        <v>0.16263552758823083</v>
      </c>
      <c r="AA242" s="73"/>
      <c r="AB242" s="176"/>
      <c r="AC242" s="176"/>
      <c r="AD242" s="176"/>
      <c r="AJ242" s="135"/>
    </row>
    <row r="243" spans="9:36" x14ac:dyDescent="0.35">
      <c r="I243" s="49">
        <v>8.9127780010400004E-2</v>
      </c>
      <c r="J243" s="49">
        <v>1.5042231777507374E-9</v>
      </c>
      <c r="K243" s="49">
        <v>8.8103289122119637E-11</v>
      </c>
      <c r="L243" s="153">
        <v>1.8807982279178186E-9</v>
      </c>
      <c r="M243" s="27"/>
      <c r="U243" s="127">
        <v>6.5593955764697371E-10</v>
      </c>
      <c r="V243" s="127">
        <v>1.8807982279178186E-9</v>
      </c>
      <c r="W243" s="127">
        <v>6.1564974712144286E-10</v>
      </c>
      <c r="X243" s="128">
        <f t="shared" si="6"/>
        <v>1.2582964401510133E-9</v>
      </c>
      <c r="Y243" s="139">
        <f t="shared" si="7"/>
        <v>7.7916108392662169</v>
      </c>
      <c r="AA243" s="73"/>
      <c r="AB243" s="176"/>
      <c r="AC243" s="176"/>
      <c r="AD243" s="176"/>
      <c r="AJ243" s="135"/>
    </row>
    <row r="244" spans="9:36" x14ac:dyDescent="0.35">
      <c r="I244" s="49">
        <v>9.00190578105E-2</v>
      </c>
      <c r="J244" s="49">
        <v>1.4749392942706721E-9</v>
      </c>
      <c r="K244" s="49">
        <v>8.4993910677361392E-11</v>
      </c>
      <c r="L244" s="153">
        <v>1.312714503952334E-9</v>
      </c>
      <c r="M244" s="27"/>
      <c r="U244" s="127">
        <v>1.2934215346219764E-9</v>
      </c>
      <c r="V244" s="127">
        <v>1.312714503952334E-9</v>
      </c>
      <c r="W244" s="127">
        <v>1.1627484886493243E-9</v>
      </c>
      <c r="X244" s="128">
        <f t="shared" ref="X244:X307" si="8">(U244+2*V244+W244)/4</f>
        <v>1.2703997577939923E-9</v>
      </c>
      <c r="Y244" s="139">
        <f t="shared" ref="Y244:Y307" si="9">(J244-X244)*(J244-X244)/(K244*K244)</f>
        <v>5.7913379754571892</v>
      </c>
      <c r="AA244" s="73"/>
      <c r="AB244" s="176"/>
      <c r="AC244" s="176"/>
      <c r="AD244" s="176"/>
      <c r="AJ244" s="135"/>
    </row>
    <row r="245" spans="9:36" x14ac:dyDescent="0.35">
      <c r="I245" s="49">
        <v>9.0919248388599994E-2</v>
      </c>
      <c r="J245" s="49">
        <v>1.517838032244412E-9</v>
      </c>
      <c r="K245" s="49">
        <v>9.0116090814064022E-11</v>
      </c>
      <c r="L245" s="153">
        <v>7.0054558586547463E-10</v>
      </c>
      <c r="M245" s="27"/>
      <c r="U245" s="127">
        <v>1.9089572816381211E-9</v>
      </c>
      <c r="V245" s="127">
        <v>7.0054558586547463E-10</v>
      </c>
      <c r="W245" s="127">
        <v>1.8254816750812102E-9</v>
      </c>
      <c r="X245" s="128">
        <f t="shared" si="8"/>
        <v>1.2838825321125701E-9</v>
      </c>
      <c r="Y245" s="139">
        <f t="shared" si="9"/>
        <v>6.7400300250616496</v>
      </c>
      <c r="AA245" s="73"/>
      <c r="AB245" s="176"/>
      <c r="AC245" s="176"/>
      <c r="AD245" s="176"/>
      <c r="AJ245" s="135"/>
    </row>
    <row r="246" spans="9:36" x14ac:dyDescent="0.35">
      <c r="I246" s="49">
        <v>9.18284408725E-2</v>
      </c>
      <c r="J246" s="49">
        <v>1.433203050346954E-9</v>
      </c>
      <c r="K246" s="49">
        <v>8.7843622477755366E-11</v>
      </c>
      <c r="L246" s="153">
        <v>6.7285835677383506E-10</v>
      </c>
      <c r="M246" s="27"/>
      <c r="U246" s="127">
        <v>1.9291239830599061E-9</v>
      </c>
      <c r="V246" s="127">
        <v>6.7285835677383506E-10</v>
      </c>
      <c r="W246" s="127">
        <v>1.9218635996224335E-9</v>
      </c>
      <c r="X246" s="128">
        <f t="shared" si="8"/>
        <v>1.2991760740575024E-9</v>
      </c>
      <c r="Y246" s="139">
        <f t="shared" si="9"/>
        <v>2.3278981007172295</v>
      </c>
      <c r="AA246" s="73"/>
      <c r="AB246" s="176"/>
      <c r="AC246" s="176"/>
      <c r="AD246" s="176"/>
      <c r="AJ246" s="135"/>
    </row>
    <row r="247" spans="9:36" x14ac:dyDescent="0.35">
      <c r="I247" s="49">
        <v>9.2746725281199996E-2</v>
      </c>
      <c r="J247" s="49">
        <v>1.2955429469568869E-9</v>
      </c>
      <c r="K247" s="49">
        <v>8.146591059555114E-11</v>
      </c>
      <c r="L247" s="153">
        <v>1.2847598595970044E-9</v>
      </c>
      <c r="M247" s="27"/>
      <c r="U247" s="127">
        <v>1.3362546515741971E-9</v>
      </c>
      <c r="V247" s="127">
        <v>1.2847598595970044E-9</v>
      </c>
      <c r="W247" s="127">
        <v>1.3545183736528544E-9</v>
      </c>
      <c r="X247" s="128">
        <f t="shared" si="8"/>
        <v>1.3150731861052652E-9</v>
      </c>
      <c r="Y247" s="139">
        <f t="shared" si="9"/>
        <v>5.7472923617085281E-2</v>
      </c>
      <c r="AA247" s="73"/>
      <c r="AB247" s="176"/>
      <c r="AC247" s="176"/>
      <c r="AD247" s="176"/>
      <c r="AJ247" s="135"/>
    </row>
    <row r="248" spans="9:36" x14ac:dyDescent="0.35">
      <c r="I248" s="49">
        <v>9.3674192534E-2</v>
      </c>
      <c r="J248" s="49">
        <v>1.3315769874204376E-9</v>
      </c>
      <c r="K248" s="49">
        <v>8.3391107420931452E-11</v>
      </c>
      <c r="L248" s="153">
        <v>1.928700126862933E-9</v>
      </c>
      <c r="M248" s="27"/>
      <c r="U248" s="127">
        <v>7.1725634606399003E-10</v>
      </c>
      <c r="V248" s="127">
        <v>1.928700126862933E-9</v>
      </c>
      <c r="W248" s="127">
        <v>7.480410572949581E-10</v>
      </c>
      <c r="X248" s="128">
        <f t="shared" si="8"/>
        <v>1.3306744142712035E-9</v>
      </c>
      <c r="Y248" s="139">
        <f t="shared" si="9"/>
        <v>1.1714542613086683E-4</v>
      </c>
      <c r="AA248" s="73"/>
      <c r="AB248" s="176"/>
      <c r="AC248" s="176"/>
      <c r="AD248" s="176"/>
      <c r="AJ248" s="135"/>
    </row>
    <row r="249" spans="9:36" x14ac:dyDescent="0.35">
      <c r="I249" s="49">
        <v>9.4610934459399998E-2</v>
      </c>
      <c r="J249" s="49">
        <v>1.4729945912349694E-9</v>
      </c>
      <c r="K249" s="49">
        <v>8.8629194470014566E-11</v>
      </c>
      <c r="L249" s="153">
        <v>1.9415641932469915E-9</v>
      </c>
      <c r="M249" s="27"/>
      <c r="U249" s="127">
        <v>7.0781864262595215E-10</v>
      </c>
      <c r="V249" s="127">
        <v>1.9415641932469915E-9</v>
      </c>
      <c r="W249" s="127">
        <v>7.9065833118871576E-10</v>
      </c>
      <c r="X249" s="128">
        <f t="shared" si="8"/>
        <v>1.3454013400771626E-9</v>
      </c>
      <c r="Y249" s="139">
        <f t="shared" si="9"/>
        <v>2.0725346643429212</v>
      </c>
      <c r="AA249" s="73"/>
      <c r="AB249" s="176"/>
      <c r="AC249" s="176"/>
      <c r="AD249" s="176"/>
      <c r="AJ249" s="135"/>
    </row>
    <row r="250" spans="9:36" x14ac:dyDescent="0.35">
      <c r="I250" s="49">
        <v>9.5557043804E-2</v>
      </c>
      <c r="J250" s="49">
        <v>1.4796625766216895E-9</v>
      </c>
      <c r="K250" s="49">
        <v>9.0679532178682637E-11</v>
      </c>
      <c r="L250" s="153">
        <v>1.3156183618746134E-9</v>
      </c>
      <c r="M250" s="27"/>
      <c r="U250" s="127">
        <v>1.3452655147354234E-9</v>
      </c>
      <c r="V250" s="127">
        <v>1.3156183618746134E-9</v>
      </c>
      <c r="W250" s="127">
        <v>1.457911324972774E-9</v>
      </c>
      <c r="X250" s="128">
        <f t="shared" si="8"/>
        <v>1.358603390864356E-9</v>
      </c>
      <c r="Y250" s="139">
        <f t="shared" si="9"/>
        <v>1.7822841924353041</v>
      </c>
      <c r="AA250" s="73"/>
      <c r="AB250" s="176"/>
      <c r="AC250" s="176"/>
      <c r="AD250" s="176"/>
      <c r="AJ250" s="135"/>
    </row>
    <row r="251" spans="9:36" x14ac:dyDescent="0.35">
      <c r="I251" s="49">
        <v>9.6512614242E-2</v>
      </c>
      <c r="J251" s="49">
        <v>1.2445504254276523E-9</v>
      </c>
      <c r="K251" s="49">
        <v>8.1675233962263075E-11</v>
      </c>
      <c r="L251" s="153">
        <v>7.4105379610543082E-10</v>
      </c>
      <c r="M251" s="27"/>
      <c r="U251" s="127">
        <v>1.9968469650419978E-9</v>
      </c>
      <c r="V251" s="127">
        <v>7.4105379610543082E-10</v>
      </c>
      <c r="W251" s="127">
        <v>2.0058588146080567E-9</v>
      </c>
      <c r="X251" s="128">
        <f t="shared" si="8"/>
        <v>1.3712033429652291E-9</v>
      </c>
      <c r="Y251" s="139">
        <f t="shared" si="9"/>
        <v>2.4046375389399439</v>
      </c>
      <c r="AA251" s="73"/>
      <c r="AB251" s="176"/>
      <c r="AC251" s="176"/>
      <c r="AD251" s="176"/>
      <c r="AJ251" s="135"/>
    </row>
    <row r="252" spans="9:36" x14ac:dyDescent="0.35">
      <c r="I252" s="49">
        <v>9.7477740384400005E-2</v>
      </c>
      <c r="J252" s="49">
        <v>1.581048233618861E-9</v>
      </c>
      <c r="K252" s="49">
        <v>9.4866638061595309E-11</v>
      </c>
      <c r="L252" s="153">
        <v>8.7268527988781929E-10</v>
      </c>
      <c r="M252" s="27"/>
      <c r="U252" s="127">
        <v>1.9926285864559328E-9</v>
      </c>
      <c r="V252" s="127">
        <v>8.7268527988781929E-10</v>
      </c>
      <c r="W252" s="127">
        <v>1.8085329644015498E-9</v>
      </c>
      <c r="X252" s="128">
        <f t="shared" si="8"/>
        <v>1.3866330276582801E-9</v>
      </c>
      <c r="Y252" s="139">
        <f t="shared" si="9"/>
        <v>4.1998467097367458</v>
      </c>
      <c r="AA252" s="73"/>
      <c r="AB252" s="176"/>
      <c r="AC252" s="176"/>
      <c r="AD252" s="176"/>
      <c r="AJ252" s="135"/>
    </row>
    <row r="253" spans="9:36" x14ac:dyDescent="0.35">
      <c r="I253" s="49">
        <v>9.8452517788299998E-2</v>
      </c>
      <c r="J253" s="49">
        <v>1.3939123695789475E-9</v>
      </c>
      <c r="K253" s="49">
        <v>8.6515333702301184E-11</v>
      </c>
      <c r="L253" s="153">
        <v>1.5862940714368552E-9</v>
      </c>
      <c r="M253" s="27"/>
      <c r="U253" s="127">
        <v>1.3438729393242914E-9</v>
      </c>
      <c r="V253" s="127">
        <v>1.5862940714368552E-9</v>
      </c>
      <c r="W253" s="127">
        <v>1.1099579805668353E-9</v>
      </c>
      <c r="X253" s="128">
        <f t="shared" si="8"/>
        <v>1.4066047656912092E-9</v>
      </c>
      <c r="Y253" s="139">
        <f t="shared" si="9"/>
        <v>2.1522913498077674E-2</v>
      </c>
      <c r="AA253" s="73"/>
      <c r="AB253" s="176"/>
      <c r="AC253" s="176"/>
      <c r="AD253" s="176"/>
      <c r="AJ253" s="135"/>
    </row>
    <row r="254" spans="9:36" x14ac:dyDescent="0.35">
      <c r="I254" s="49">
        <v>9.9437042966199998E-2</v>
      </c>
      <c r="J254" s="49">
        <v>1.5152670833848368E-9</v>
      </c>
      <c r="K254" s="49">
        <v>9.5141043274422204E-11</v>
      </c>
      <c r="L254" s="153">
        <v>2.0840890006330704E-9</v>
      </c>
      <c r="M254" s="27"/>
      <c r="U254" s="127">
        <v>7.6572455446097638E-10</v>
      </c>
      <c r="V254" s="127">
        <v>2.0840890006330704E-9</v>
      </c>
      <c r="W254" s="127">
        <v>7.6847183281502768E-10</v>
      </c>
      <c r="X254" s="128">
        <f t="shared" si="8"/>
        <v>1.4255935971355363E-9</v>
      </c>
      <c r="Y254" s="139">
        <f t="shared" si="9"/>
        <v>0.88836673844242064</v>
      </c>
      <c r="AA254" s="73"/>
      <c r="AB254" s="176"/>
      <c r="AC254" s="176"/>
      <c r="AD254" s="176"/>
      <c r="AJ254" s="135"/>
    </row>
    <row r="255" spans="9:36" x14ac:dyDescent="0.35">
      <c r="I255" s="49">
        <v>0.10043141339599999</v>
      </c>
      <c r="J255" s="49">
        <v>1.5640265669756325E-9</v>
      </c>
      <c r="K255" s="49">
        <v>9.3668117780122272E-11</v>
      </c>
      <c r="L255" s="153">
        <v>1.7982666364625716E-9</v>
      </c>
      <c r="M255" s="27"/>
      <c r="U255" s="127">
        <v>9.1696043503400124E-10</v>
      </c>
      <c r="V255" s="127">
        <v>1.7982666364625716E-9</v>
      </c>
      <c r="W255" s="127">
        <v>1.2257334366732443E-9</v>
      </c>
      <c r="X255" s="128">
        <f t="shared" si="8"/>
        <v>1.4348067861580971E-9</v>
      </c>
      <c r="Y255" s="139">
        <f t="shared" si="9"/>
        <v>1.9031561091704838</v>
      </c>
      <c r="AA255" s="73"/>
      <c r="AB255" s="176"/>
      <c r="AC255" s="176"/>
      <c r="AD255" s="176"/>
      <c r="AJ255" s="135"/>
    </row>
    <row r="256" spans="9:36" x14ac:dyDescent="0.35">
      <c r="I256" s="49">
        <v>0.10143572753000001</v>
      </c>
      <c r="J256" s="49">
        <v>1.568207573844232E-9</v>
      </c>
      <c r="K256" s="49">
        <v>1.0277480676106789E-10</v>
      </c>
      <c r="L256" s="153">
        <v>1.0790526623628536E-9</v>
      </c>
      <c r="M256" s="27"/>
      <c r="U256" s="127">
        <v>1.6517582646789568E-9</v>
      </c>
      <c r="V256" s="127">
        <v>1.0790526623628536E-9</v>
      </c>
      <c r="W256" s="127">
        <v>1.9342047128712071E-9</v>
      </c>
      <c r="X256" s="128">
        <f t="shared" si="8"/>
        <v>1.4360170755689676E-9</v>
      </c>
      <c r="Y256" s="139">
        <f t="shared" si="9"/>
        <v>1.6543490311578044</v>
      </c>
      <c r="AA256" s="73"/>
      <c r="AB256" s="176"/>
      <c r="AC256" s="176"/>
      <c r="AD256" s="176"/>
      <c r="AJ256" s="135"/>
    </row>
    <row r="257" spans="9:36" x14ac:dyDescent="0.35">
      <c r="I257" s="49">
        <v>0.10245008480499999</v>
      </c>
      <c r="J257" s="49">
        <v>1.3687028746895309E-9</v>
      </c>
      <c r="K257" s="49">
        <v>9.5912787142898018E-11</v>
      </c>
      <c r="L257" s="153">
        <v>8.1168913946243094E-10</v>
      </c>
      <c r="M257" s="27"/>
      <c r="U257" s="127">
        <v>2.1491491395498488E-9</v>
      </c>
      <c r="V257" s="127">
        <v>8.1168913946243094E-10</v>
      </c>
      <c r="W257" s="127">
        <v>2.0131294234479497E-9</v>
      </c>
      <c r="X257" s="128">
        <f t="shared" si="8"/>
        <v>1.4464142104806653E-9</v>
      </c>
      <c r="Y257" s="139">
        <f t="shared" si="9"/>
        <v>0.65647127196534794</v>
      </c>
      <c r="AA257" s="73"/>
      <c r="AB257" s="176"/>
      <c r="AC257" s="176"/>
      <c r="AD257" s="176"/>
      <c r="AJ257" s="136"/>
    </row>
    <row r="258" spans="9:36" x14ac:dyDescent="0.35">
      <c r="I258" s="49">
        <v>0.103474585653</v>
      </c>
      <c r="J258" s="49">
        <v>1.8089279935403237E-9</v>
      </c>
      <c r="K258" s="49">
        <v>1.157718171374949E-10</v>
      </c>
      <c r="L258" s="153">
        <v>1.3479463325636059E-9</v>
      </c>
      <c r="M258" s="27"/>
      <c r="U258" s="127">
        <v>1.8429756823297533E-9</v>
      </c>
      <c r="V258" s="127">
        <v>1.3479463325636059E-9</v>
      </c>
      <c r="W258" s="127">
        <v>1.3776488302375851E-9</v>
      </c>
      <c r="X258" s="128">
        <f t="shared" si="8"/>
        <v>1.4791292944236376E-9</v>
      </c>
      <c r="Y258" s="139">
        <f t="shared" si="9"/>
        <v>8.1150682470924895</v>
      </c>
      <c r="AA258" s="73"/>
      <c r="AB258" s="176"/>
      <c r="AC258" s="176"/>
      <c r="AD258" s="176"/>
      <c r="AJ258" s="136"/>
    </row>
    <row r="259" spans="9:36" x14ac:dyDescent="0.35">
      <c r="I259" s="49">
        <v>0.10450933151</v>
      </c>
      <c r="J259" s="49">
        <v>1.708424487580612E-9</v>
      </c>
      <c r="K259" s="49">
        <v>1.1345260033072964E-10</v>
      </c>
      <c r="L259" s="153">
        <v>2.0414495618870036E-9</v>
      </c>
      <c r="M259" s="27"/>
      <c r="U259" s="127">
        <v>1.1081521356528267E-9</v>
      </c>
      <c r="V259" s="127">
        <v>2.0414495618870036E-9</v>
      </c>
      <c r="W259" s="127">
        <v>8.8415427881879077E-10</v>
      </c>
      <c r="X259" s="128">
        <f t="shared" si="8"/>
        <v>1.5188013845614061E-9</v>
      </c>
      <c r="Y259" s="139">
        <f t="shared" si="9"/>
        <v>2.7935316077542245</v>
      </c>
      <c r="AA259" s="73"/>
      <c r="AB259" s="176"/>
      <c r="AC259" s="176"/>
      <c r="AD259" s="176"/>
      <c r="AJ259" s="136"/>
    </row>
    <row r="260" spans="9:36" x14ac:dyDescent="0.35">
      <c r="I260" s="49">
        <v>0.10555442482500001</v>
      </c>
      <c r="J260" s="49">
        <v>1.8377125335335788E-9</v>
      </c>
      <c r="K260" s="49">
        <v>1.1409287133643313E-10</v>
      </c>
      <c r="L260" s="153">
        <v>2.0303389694795872E-9</v>
      </c>
      <c r="M260" s="27"/>
      <c r="U260" s="127">
        <v>8.4866475294722375E-10</v>
      </c>
      <c r="V260" s="127">
        <v>2.0303389694795872E-9</v>
      </c>
      <c r="W260" s="127">
        <v>1.2194777820073906E-9</v>
      </c>
      <c r="X260" s="128">
        <f t="shared" si="8"/>
        <v>1.5322051184784472E-9</v>
      </c>
      <c r="Y260" s="139">
        <f t="shared" si="9"/>
        <v>7.1701211065270867</v>
      </c>
      <c r="AA260" s="73"/>
      <c r="AB260" s="176"/>
      <c r="AC260" s="176"/>
      <c r="AD260" s="176"/>
      <c r="AJ260" s="136"/>
    </row>
    <row r="261" spans="9:36" x14ac:dyDescent="0.35">
      <c r="I261" s="49">
        <v>0.10660996907299999</v>
      </c>
      <c r="J261" s="49">
        <v>1.8561173183020818E-9</v>
      </c>
      <c r="K261" s="49">
        <v>1.2123303877067941E-10</v>
      </c>
      <c r="L261" s="153">
        <v>1.3472914452651634E-9</v>
      </c>
      <c r="M261" s="27"/>
      <c r="U261" s="127">
        <v>1.4066797345799888E-9</v>
      </c>
      <c r="V261" s="127">
        <v>1.3472914452651634E-9</v>
      </c>
      <c r="W261" s="127">
        <v>1.95666457506565E-9</v>
      </c>
      <c r="X261" s="128">
        <f t="shared" si="8"/>
        <v>1.5144818000439914E-9</v>
      </c>
      <c r="Y261" s="139">
        <f t="shared" si="9"/>
        <v>7.9411618886694368</v>
      </c>
      <c r="AA261" s="73"/>
      <c r="AB261" s="176"/>
      <c r="AC261" s="176"/>
      <c r="AD261" s="176"/>
      <c r="AJ261" s="136"/>
    </row>
    <row r="262" spans="9:36" x14ac:dyDescent="0.35">
      <c r="I262" s="49">
        <v>0.107676068764</v>
      </c>
      <c r="J262" s="49">
        <v>1.8746838100888617E-9</v>
      </c>
      <c r="K262" s="49">
        <v>1.2299020767436378E-10</v>
      </c>
      <c r="L262" s="153">
        <v>9.1310470716453485E-10</v>
      </c>
      <c r="M262" s="27"/>
      <c r="U262" s="127">
        <v>2.1096113869218251E-9</v>
      </c>
      <c r="V262" s="127">
        <v>9.1310470716453485E-10</v>
      </c>
      <c r="W262" s="127">
        <v>2.1027603473639495E-9</v>
      </c>
      <c r="X262" s="128">
        <f t="shared" si="8"/>
        <v>1.509645287153711E-9</v>
      </c>
      <c r="Y262" s="139">
        <f t="shared" si="9"/>
        <v>8.8091971024862623</v>
      </c>
      <c r="AA262" s="73"/>
      <c r="AB262" s="176"/>
      <c r="AC262" s="176"/>
      <c r="AD262" s="176"/>
      <c r="AJ262" s="136"/>
    </row>
    <row r="263" spans="9:36" x14ac:dyDescent="0.35">
      <c r="I263" s="49">
        <v>0.108752829451</v>
      </c>
      <c r="J263" s="49">
        <v>1.6353540529662118E-9</v>
      </c>
      <c r="K263" s="49">
        <v>1.1473946044472086E-10</v>
      </c>
      <c r="L263" s="153">
        <v>1.3362398094241805E-9</v>
      </c>
      <c r="M263" s="27"/>
      <c r="U263" s="127">
        <v>2.0851896477931572E-9</v>
      </c>
      <c r="V263" s="127">
        <v>1.3362398094241805E-9</v>
      </c>
      <c r="W263" s="127">
        <v>1.4755801916318464E-9</v>
      </c>
      <c r="X263" s="128">
        <f t="shared" si="8"/>
        <v>1.558312364568341E-9</v>
      </c>
      <c r="Y263" s="139">
        <f t="shared" si="9"/>
        <v>0.45084367090568978</v>
      </c>
      <c r="AA263" s="73"/>
      <c r="AB263" s="176"/>
      <c r="AC263" s="176"/>
      <c r="AD263" s="176"/>
      <c r="AJ263" s="136"/>
    </row>
    <row r="264" spans="9:36" x14ac:dyDescent="0.35">
      <c r="I264" s="49">
        <v>0.109840357746</v>
      </c>
      <c r="J264" s="49">
        <v>1.7188282580863911E-9</v>
      </c>
      <c r="K264" s="49">
        <v>1.2742131095827502E-10</v>
      </c>
      <c r="L264" s="153">
        <v>2.0698891021929847E-9</v>
      </c>
      <c r="M264" s="27"/>
      <c r="U264" s="127">
        <v>1.384336088295233E-9</v>
      </c>
      <c r="V264" s="127">
        <v>2.0698891021929847E-9</v>
      </c>
      <c r="W264" s="127">
        <v>9.9311001941346668E-10</v>
      </c>
      <c r="X264" s="128">
        <f t="shared" si="8"/>
        <v>1.6293060780236673E-9</v>
      </c>
      <c r="Y264" s="139">
        <f t="shared" si="9"/>
        <v>0.49360228496533987</v>
      </c>
      <c r="AA264" s="73"/>
      <c r="AB264" s="176"/>
      <c r="AC264" s="176"/>
      <c r="AD264" s="176"/>
      <c r="AJ264" s="136"/>
    </row>
    <row r="265" spans="9:36" x14ac:dyDescent="0.35">
      <c r="I265" s="49">
        <v>0.110938761323</v>
      </c>
      <c r="J265" s="49">
        <v>1.9203937207203315E-9</v>
      </c>
      <c r="K265" s="49">
        <v>1.3309284614307875E-10</v>
      </c>
      <c r="L265" s="153">
        <v>2.1255248639113529E-9</v>
      </c>
      <c r="M265" s="27"/>
      <c r="U265" s="127">
        <v>9.5112398431157148E-10</v>
      </c>
      <c r="V265" s="127">
        <v>2.1255248639113529E-9</v>
      </c>
      <c r="W265" s="127">
        <v>1.3760595877501396E-9</v>
      </c>
      <c r="X265" s="128">
        <f t="shared" si="8"/>
        <v>1.6445583249711041E-9</v>
      </c>
      <c r="Y265" s="139">
        <f t="shared" si="9"/>
        <v>4.2952709534914648</v>
      </c>
      <c r="AA265" s="73"/>
      <c r="AB265" s="176"/>
      <c r="AC265" s="176"/>
      <c r="AD265" s="176"/>
      <c r="AJ265" s="136"/>
    </row>
    <row r="266" spans="9:36" x14ac:dyDescent="0.35">
      <c r="I266" s="49">
        <v>0.11204814893700001</v>
      </c>
      <c r="J266" s="49">
        <v>1.7319028222839842E-9</v>
      </c>
      <c r="K266" s="49">
        <v>1.2765270428468383E-10</v>
      </c>
      <c r="L266" s="153">
        <v>1.4487669477738657E-9</v>
      </c>
      <c r="M266" s="27"/>
      <c r="U266" s="127">
        <v>1.3921393872342502E-9</v>
      </c>
      <c r="V266" s="127">
        <v>1.4487669477738657E-9</v>
      </c>
      <c r="W266" s="127">
        <v>2.0770557772341004E-9</v>
      </c>
      <c r="X266" s="128">
        <f t="shared" si="8"/>
        <v>1.5916822650040206E-9</v>
      </c>
      <c r="Y266" s="139">
        <f t="shared" si="9"/>
        <v>1.206600048189499</v>
      </c>
      <c r="AA266" s="73"/>
      <c r="AB266" s="176"/>
      <c r="AC266" s="176"/>
      <c r="AD266" s="176"/>
      <c r="AJ266" s="136"/>
    </row>
    <row r="267" spans="9:36" x14ac:dyDescent="0.35">
      <c r="I267" s="49">
        <v>0.11316863042600001</v>
      </c>
      <c r="J267" s="49">
        <v>1.8023366852252459E-9</v>
      </c>
      <c r="K267" s="49">
        <v>1.289001027500025E-10</v>
      </c>
      <c r="L267" s="152">
        <v>1.0293592347735753E-9</v>
      </c>
      <c r="M267" s="34"/>
      <c r="U267" s="127">
        <v>2.1365259056240153E-9</v>
      </c>
      <c r="V267" s="127">
        <v>1.0293592347735753E-9</v>
      </c>
      <c r="W267" s="127">
        <v>2.0650990973433299E-9</v>
      </c>
      <c r="X267" s="128">
        <f t="shared" si="8"/>
        <v>1.5650858681286238E-9</v>
      </c>
      <c r="Y267" s="139">
        <f t="shared" si="9"/>
        <v>3.387730908940795</v>
      </c>
      <c r="AA267" s="73"/>
      <c r="AB267" s="176"/>
      <c r="AC267" s="176"/>
      <c r="AD267" s="176"/>
      <c r="AJ267" s="136"/>
    </row>
    <row r="268" spans="9:36" x14ac:dyDescent="0.35">
      <c r="I268" s="49">
        <v>0.11430031673</v>
      </c>
      <c r="J268" s="49">
        <v>1.7025375199287693E-9</v>
      </c>
      <c r="K268" s="49">
        <v>1.3069527611047965E-10</v>
      </c>
      <c r="L268" s="152">
        <v>1.4961555958055857E-9</v>
      </c>
      <c r="M268" s="34"/>
      <c r="U268" s="127">
        <v>2.1821335172813081E-9</v>
      </c>
      <c r="V268" s="127">
        <v>1.4961555958055857E-9</v>
      </c>
      <c r="W268" s="127">
        <v>1.3866422429944647E-9</v>
      </c>
      <c r="X268" s="128">
        <f t="shared" si="8"/>
        <v>1.640271737971736E-9</v>
      </c>
      <c r="Y268" s="139">
        <f t="shared" si="9"/>
        <v>0.22697556812258141</v>
      </c>
      <c r="AA268" s="73"/>
      <c r="AB268" s="176"/>
      <c r="AC268" s="176"/>
      <c r="AD268" s="176"/>
      <c r="AJ268" s="136"/>
    </row>
    <row r="269" spans="9:36" x14ac:dyDescent="0.35">
      <c r="I269" s="49">
        <v>0.115443319898</v>
      </c>
      <c r="J269" s="49">
        <v>1.8127950950872067E-9</v>
      </c>
      <c r="K269" s="49">
        <v>1.3433744221252768E-10</v>
      </c>
      <c r="L269" s="152">
        <v>2.1770727030796557E-9</v>
      </c>
      <c r="M269" s="33"/>
      <c r="U269" s="127">
        <v>1.4895351443369862E-9</v>
      </c>
      <c r="V269" s="127">
        <v>2.1770727030796557E-9</v>
      </c>
      <c r="W269" s="127">
        <v>1.1241797726140048E-9</v>
      </c>
      <c r="X269" s="128">
        <f t="shared" si="8"/>
        <v>1.7419650807775756E-9</v>
      </c>
      <c r="Y269" s="139">
        <f t="shared" si="9"/>
        <v>0.27799725584121826</v>
      </c>
      <c r="AA269" s="73"/>
      <c r="AB269" s="176"/>
      <c r="AC269" s="176"/>
      <c r="AD269" s="176"/>
      <c r="AJ269" s="136"/>
    </row>
    <row r="270" spans="9:36" x14ac:dyDescent="0.35">
      <c r="I270" s="49">
        <v>0.116597753096</v>
      </c>
      <c r="J270" s="49">
        <v>1.7416766228059045E-9</v>
      </c>
      <c r="K270" s="49">
        <v>1.3227889486129223E-10</v>
      </c>
      <c r="L270" s="152">
        <v>2.0715071024236643E-9</v>
      </c>
      <c r="M270" s="34"/>
      <c r="U270" s="127">
        <v>1.0705439595117982E-9</v>
      </c>
      <c r="V270" s="127">
        <v>2.0715071024236643E-9</v>
      </c>
      <c r="W270" s="127">
        <v>1.7164089025856644E-9</v>
      </c>
      <c r="X270" s="128">
        <f t="shared" si="8"/>
        <v>1.7324917667361979E-9</v>
      </c>
      <c r="Y270" s="139">
        <f t="shared" si="9"/>
        <v>4.8212937682916863E-3</v>
      </c>
      <c r="AA270" s="73"/>
      <c r="AB270" s="176"/>
      <c r="AC270" s="176"/>
      <c r="AD270" s="176"/>
      <c r="AJ270" s="136"/>
    </row>
    <row r="271" spans="9:36" x14ac:dyDescent="0.35">
      <c r="I271" s="49">
        <v>0.117763730627</v>
      </c>
      <c r="J271" s="49">
        <v>2.1161011606308406E-9</v>
      </c>
      <c r="K271" s="49">
        <v>1.5358139379825126E-10</v>
      </c>
      <c r="L271" s="152">
        <v>1.3701821360161271E-9</v>
      </c>
      <c r="M271" s="35"/>
      <c r="U271" s="127">
        <v>1.552179931468295E-9</v>
      </c>
      <c r="V271" s="127">
        <v>1.3701821360161271E-9</v>
      </c>
      <c r="W271" s="127">
        <v>2.2377249140386686E-9</v>
      </c>
      <c r="X271" s="128">
        <f t="shared" si="8"/>
        <v>1.6325672793848044E-9</v>
      </c>
      <c r="Y271" s="139">
        <f t="shared" si="9"/>
        <v>9.9123496220409439</v>
      </c>
      <c r="AA271" s="73"/>
      <c r="AB271" s="176"/>
      <c r="AC271" s="176"/>
      <c r="AD271" s="176"/>
      <c r="AJ271" s="136"/>
    </row>
    <row r="272" spans="9:36" x14ac:dyDescent="0.35">
      <c r="I272" s="49">
        <v>0.11894136793399999</v>
      </c>
      <c r="J272" s="49">
        <v>1.6084624168358719E-9</v>
      </c>
      <c r="K272" s="49">
        <v>1.3903862654386974E-10</v>
      </c>
      <c r="L272" s="152">
        <v>1.19164087889462E-9</v>
      </c>
      <c r="M272" s="34"/>
      <c r="U272" s="127">
        <v>2.2402266736693108E-9</v>
      </c>
      <c r="V272" s="127">
        <v>1.19164087889462E-9</v>
      </c>
      <c r="W272" s="127">
        <v>1.871419451982481E-9</v>
      </c>
      <c r="X272" s="128">
        <f t="shared" si="8"/>
        <v>1.6237319708602579E-9</v>
      </c>
      <c r="Y272" s="139">
        <f t="shared" si="9"/>
        <v>1.2060956958308874E-2</v>
      </c>
      <c r="AA272" s="73"/>
      <c r="AB272" s="176"/>
      <c r="AC272" s="176"/>
      <c r="AD272" s="176"/>
      <c r="AJ272" s="136"/>
    </row>
    <row r="273" spans="9:36" x14ac:dyDescent="0.35">
      <c r="I273" s="49">
        <v>0.120130781613</v>
      </c>
      <c r="J273" s="49">
        <v>1.6694985249862647E-9</v>
      </c>
      <c r="K273" s="49">
        <v>1.3670920356374328E-10</v>
      </c>
      <c r="L273" s="152">
        <v>1.8412780106738045E-9</v>
      </c>
      <c r="M273" s="33"/>
      <c r="U273" s="127">
        <v>2.12437601091278E-9</v>
      </c>
      <c r="V273" s="127">
        <v>1.8412780106738045E-9</v>
      </c>
      <c r="W273" s="127">
        <v>1.2633169737555756E-9</v>
      </c>
      <c r="X273" s="128">
        <f t="shared" si="8"/>
        <v>1.7675622515039911E-9</v>
      </c>
      <c r="Y273" s="139">
        <f t="shared" si="9"/>
        <v>0.51454253196150479</v>
      </c>
      <c r="AA273" s="73"/>
      <c r="AB273" s="176"/>
      <c r="AC273" s="176"/>
      <c r="AD273" s="176"/>
      <c r="AJ273" s="136"/>
    </row>
    <row r="274" spans="9:36" x14ac:dyDescent="0.35">
      <c r="I274" s="49">
        <v>0.12133208942900001</v>
      </c>
      <c r="J274" s="49">
        <v>1.7213369918118444E-9</v>
      </c>
      <c r="K274" s="49">
        <v>1.447461977752039E-10</v>
      </c>
      <c r="L274" s="152">
        <v>2.3009252505042522E-9</v>
      </c>
      <c r="M274" s="34"/>
      <c r="U274" s="127">
        <v>1.4115817459689236E-9</v>
      </c>
      <c r="V274" s="127">
        <v>2.3009252505042522E-9</v>
      </c>
      <c r="W274" s="127">
        <v>1.4690026075376178E-9</v>
      </c>
      <c r="X274" s="128">
        <f t="shared" si="8"/>
        <v>1.8706087136287614E-9</v>
      </c>
      <c r="Y274" s="139">
        <f t="shared" si="9"/>
        <v>1.0635079870985327</v>
      </c>
      <c r="AA274" s="73"/>
      <c r="AB274" s="176"/>
      <c r="AC274" s="176"/>
      <c r="AD274" s="176"/>
      <c r="AJ274" s="136"/>
    </row>
    <row r="275" spans="9:36" x14ac:dyDescent="0.35">
      <c r="I275" s="49">
        <v>0.122545410323</v>
      </c>
      <c r="J275" s="49">
        <v>1.8832036666285966E-9</v>
      </c>
      <c r="K275" s="49">
        <v>1.5011431091147081E-10</v>
      </c>
      <c r="L275" s="152">
        <v>1.8554281208577195E-9</v>
      </c>
      <c r="M275" s="34"/>
      <c r="U275" s="127">
        <v>1.2371428240290513E-9</v>
      </c>
      <c r="V275" s="127">
        <v>1.8554281208577195E-9</v>
      </c>
      <c r="W275" s="127">
        <v>2.1604525073561952E-9</v>
      </c>
      <c r="X275" s="128">
        <f t="shared" si="8"/>
        <v>1.7771128932751713E-9</v>
      </c>
      <c r="Y275" s="139">
        <f t="shared" si="9"/>
        <v>0.49947187282780198</v>
      </c>
      <c r="AA275" s="73"/>
      <c r="AB275" s="176"/>
      <c r="AC275" s="176"/>
      <c r="AD275" s="176"/>
      <c r="AJ275" s="136"/>
    </row>
    <row r="276" spans="9:36" x14ac:dyDescent="0.35">
      <c r="I276" s="49">
        <v>0.123770864427</v>
      </c>
      <c r="J276" s="49">
        <v>1.9377469609836711E-9</v>
      </c>
      <c r="K276" s="49">
        <v>1.5601553479983269E-10</v>
      </c>
      <c r="L276" s="152">
        <v>1.2824449980662963E-9</v>
      </c>
      <c r="M276" s="33"/>
      <c r="U276" s="127">
        <v>1.8986523824763253E-9</v>
      </c>
      <c r="V276" s="127">
        <v>1.2824449980662963E-9</v>
      </c>
      <c r="W276" s="127">
        <v>2.1664545392493953E-9</v>
      </c>
      <c r="X276" s="128">
        <f t="shared" si="8"/>
        <v>1.6574992294645784E-9</v>
      </c>
      <c r="Y276" s="139">
        <f t="shared" si="9"/>
        <v>3.2266252157353388</v>
      </c>
      <c r="AA276" s="73"/>
      <c r="AB276" s="176"/>
      <c r="AC276" s="176"/>
      <c r="AD276" s="176"/>
      <c r="AJ276" s="136"/>
    </row>
    <row r="277" spans="9:36" x14ac:dyDescent="0.35">
      <c r="I277" s="49">
        <v>0.125008573071</v>
      </c>
      <c r="J277" s="49">
        <v>1.7369135903844254E-9</v>
      </c>
      <c r="K277" s="49">
        <v>1.5688146675342527E-10</v>
      </c>
      <c r="L277" s="152">
        <v>1.5768279142561125E-9</v>
      </c>
      <c r="M277" s="34"/>
      <c r="U277" s="127">
        <v>2.3590599926474706E-9</v>
      </c>
      <c r="V277" s="127">
        <v>1.5768279142561125E-9</v>
      </c>
      <c r="W277" s="127">
        <v>1.5163972142483107E-9</v>
      </c>
      <c r="X277" s="128">
        <f t="shared" si="8"/>
        <v>1.7572782588520016E-9</v>
      </c>
      <c r="Y277" s="139">
        <f t="shared" si="9"/>
        <v>1.685044623336366E-2</v>
      </c>
      <c r="AA277" s="73"/>
      <c r="AB277" s="176"/>
      <c r="AC277" s="176"/>
      <c r="AD277" s="176"/>
      <c r="AJ277" s="136"/>
    </row>
    <row r="278" spans="9:36" x14ac:dyDescent="0.35">
      <c r="I278" s="49">
        <v>0.12625865880199999</v>
      </c>
      <c r="J278" s="49">
        <v>1.6429084231813452E-9</v>
      </c>
      <c r="K278" s="49">
        <v>1.617300132333524E-10</v>
      </c>
      <c r="L278" s="152">
        <v>2.2566139307641888E-9</v>
      </c>
      <c r="M278" s="34"/>
      <c r="U278" s="127">
        <v>1.9029117549980136E-9</v>
      </c>
      <c r="V278" s="127">
        <v>2.2566139307641888E-9</v>
      </c>
      <c r="W278" s="127">
        <v>1.4055722282374191E-9</v>
      </c>
      <c r="X278" s="128">
        <f t="shared" si="8"/>
        <v>1.9554279611909525E-9</v>
      </c>
      <c r="Y278" s="139">
        <f t="shared" si="9"/>
        <v>3.7339895921438608</v>
      </c>
      <c r="AA278" s="73"/>
      <c r="AB278" s="176"/>
      <c r="AC278" s="176"/>
      <c r="AD278" s="176"/>
      <c r="AJ278" s="136"/>
    </row>
    <row r="279" spans="9:36" x14ac:dyDescent="0.35">
      <c r="I279" s="49">
        <v>0.12752124539000001</v>
      </c>
      <c r="J279" s="49">
        <v>1.9234181272136757E-9</v>
      </c>
      <c r="K279" s="49">
        <v>1.8333928379023975E-10</v>
      </c>
      <c r="L279" s="152">
        <v>2.170443200309074E-9</v>
      </c>
      <c r="M279" s="35"/>
      <c r="U279" s="127">
        <v>1.3248725687062437E-9</v>
      </c>
      <c r="V279" s="127">
        <v>2.170443200309074E-9</v>
      </c>
      <c r="W279" s="127">
        <v>2.0456032418525756E-9</v>
      </c>
      <c r="X279" s="128">
        <f t="shared" si="8"/>
        <v>1.9278405527942418E-9</v>
      </c>
      <c r="Y279" s="139">
        <f t="shared" si="9"/>
        <v>5.8184861646444529E-4</v>
      </c>
      <c r="AA279" s="73"/>
      <c r="AB279" s="176"/>
      <c r="AC279" s="176"/>
      <c r="AD279" s="176"/>
      <c r="AJ279" s="136"/>
    </row>
    <row r="280" spans="9:36" x14ac:dyDescent="0.35">
      <c r="I280" s="49">
        <v>0.12879645784400001</v>
      </c>
      <c r="J280" s="49">
        <v>2.0363892222674928E-9</v>
      </c>
      <c r="K280" s="49">
        <v>1.9124643460796527E-10</v>
      </c>
      <c r="L280" s="152">
        <v>1.5103761340854004E-9</v>
      </c>
      <c r="M280" s="33"/>
      <c r="U280" s="127">
        <v>1.6257875274497331E-9</v>
      </c>
      <c r="V280" s="127">
        <v>1.5103761340854004E-9</v>
      </c>
      <c r="W280" s="127">
        <v>2.2669943274909332E-9</v>
      </c>
      <c r="X280" s="128">
        <f t="shared" si="8"/>
        <v>1.728383530777867E-9</v>
      </c>
      <c r="Y280" s="139">
        <f t="shared" si="9"/>
        <v>2.5937659734338818</v>
      </c>
      <c r="AA280" s="73"/>
      <c r="AB280" s="176"/>
      <c r="AC280" s="176"/>
      <c r="AD280" s="176"/>
      <c r="AJ280" s="136"/>
    </row>
    <row r="281" spans="9:36" x14ac:dyDescent="0.35">
      <c r="I281" s="49">
        <v>0.130084422422</v>
      </c>
      <c r="J281" s="49">
        <v>1.7115333023737093E-9</v>
      </c>
      <c r="K281" s="49">
        <v>1.6918029586277081E-10</v>
      </c>
      <c r="L281" s="152">
        <v>1.487096392646633E-9</v>
      </c>
      <c r="M281" s="34"/>
      <c r="U281" s="127">
        <v>2.3104958438316184E-9</v>
      </c>
      <c r="V281" s="127">
        <v>1.487096392646633E-9</v>
      </c>
      <c r="W281" s="127">
        <v>1.6933902322225442E-9</v>
      </c>
      <c r="X281" s="128">
        <f t="shared" si="8"/>
        <v>1.7445197153368571E-9</v>
      </c>
      <c r="Y281" s="139">
        <f t="shared" si="9"/>
        <v>3.8016368014574434E-2</v>
      </c>
      <c r="AA281" s="73"/>
      <c r="AB281" s="176"/>
      <c r="AC281" s="176"/>
      <c r="AD281" s="176"/>
      <c r="AJ281" s="136"/>
    </row>
    <row r="282" spans="9:36" x14ac:dyDescent="0.35">
      <c r="I282" s="49">
        <v>0.131385266646</v>
      </c>
      <c r="J282" s="49">
        <v>2.0214826153570042E-9</v>
      </c>
      <c r="K282" s="49">
        <v>1.855687444491398E-10</v>
      </c>
      <c r="L282" s="152">
        <v>2.1492736036088421E-9</v>
      </c>
      <c r="M282" s="34"/>
      <c r="U282" s="127">
        <v>2.2187280060030222E-9</v>
      </c>
      <c r="V282" s="127">
        <v>2.1492736036088421E-9</v>
      </c>
      <c r="W282" s="127">
        <v>1.4618589338884193E-9</v>
      </c>
      <c r="X282" s="128">
        <f t="shared" si="8"/>
        <v>1.9947835367772817E-9</v>
      </c>
      <c r="Y282" s="139">
        <f t="shared" si="9"/>
        <v>2.0700597850511919E-2</v>
      </c>
      <c r="AA282" s="73"/>
      <c r="AB282" s="176"/>
      <c r="AC282" s="176"/>
      <c r="AD282" s="176"/>
      <c r="AJ282" s="136"/>
    </row>
    <row r="283" spans="9:36" x14ac:dyDescent="0.35">
      <c r="I283" s="49">
        <v>0.13269911931299999</v>
      </c>
      <c r="J283" s="49">
        <v>1.7866618373381417E-9</v>
      </c>
      <c r="K283" s="49">
        <v>1.7845413825598824E-10</v>
      </c>
      <c r="L283" s="152">
        <v>2.285826924729234E-9</v>
      </c>
      <c r="M283" s="33"/>
      <c r="U283" s="127">
        <v>1.5516719664282709E-9</v>
      </c>
      <c r="V283" s="127">
        <v>2.285826924729234E-9</v>
      </c>
      <c r="W283" s="127">
        <v>2.0417375471169514E-9</v>
      </c>
      <c r="X283" s="128">
        <f t="shared" si="8"/>
        <v>2.0412658407509224E-9</v>
      </c>
      <c r="Y283" s="139">
        <f t="shared" si="9"/>
        <v>2.0355286037503606</v>
      </c>
      <c r="AA283" s="73"/>
      <c r="AB283" s="176"/>
      <c r="AC283" s="176"/>
      <c r="AD283" s="176"/>
      <c r="AJ283" s="136"/>
    </row>
    <row r="284" spans="9:36" x14ac:dyDescent="0.35">
      <c r="I284" s="49">
        <v>0.134026110506</v>
      </c>
      <c r="J284" s="49">
        <v>2.0844288698775824E-9</v>
      </c>
      <c r="K284" s="49">
        <v>1.9964498256989512E-10</v>
      </c>
      <c r="L284" s="152">
        <v>1.6806649152658603E-9</v>
      </c>
      <c r="M284" s="34"/>
      <c r="U284" s="127">
        <v>1.5296389031204222E-9</v>
      </c>
      <c r="V284" s="127">
        <v>1.6806649152658603E-9</v>
      </c>
      <c r="W284" s="127">
        <v>2.3128907705113182E-9</v>
      </c>
      <c r="X284" s="128">
        <f t="shared" si="8"/>
        <v>1.8009648760408652E-9</v>
      </c>
      <c r="Y284" s="139">
        <f t="shared" si="9"/>
        <v>2.0159465044036105</v>
      </c>
      <c r="AA284" s="73"/>
      <c r="AB284" s="176"/>
      <c r="AC284" s="176"/>
      <c r="AD284" s="176"/>
      <c r="AJ284" s="136"/>
    </row>
    <row r="285" spans="9:36" x14ac:dyDescent="0.35">
      <c r="I285" s="49">
        <v>0.13536637161100001</v>
      </c>
      <c r="J285" s="49">
        <v>1.7949119226213164E-9</v>
      </c>
      <c r="K285" s="49">
        <v>1.9334668092117933E-10</v>
      </c>
      <c r="L285" s="152">
        <v>1.5287691773681871E-9</v>
      </c>
      <c r="M285" s="34"/>
      <c r="U285" s="127">
        <v>2.1957339268591209E-9</v>
      </c>
      <c r="V285" s="127">
        <v>1.5287691773681871E-9</v>
      </c>
      <c r="W285" s="127">
        <v>1.7809365032177477E-9</v>
      </c>
      <c r="X285" s="128">
        <f t="shared" si="8"/>
        <v>1.7585521962033106E-9</v>
      </c>
      <c r="Y285" s="139">
        <f t="shared" si="9"/>
        <v>3.5364520279437664E-2</v>
      </c>
      <c r="AA285" s="73"/>
      <c r="AB285" s="176"/>
      <c r="AC285" s="176"/>
      <c r="AD285" s="176"/>
      <c r="AJ285" s="136"/>
    </row>
    <row r="286" spans="9:36" x14ac:dyDescent="0.35">
      <c r="I286" s="49">
        <v>0.136720035327</v>
      </c>
      <c r="J286" s="49">
        <v>1.9911947308772054E-9</v>
      </c>
      <c r="K286" s="49">
        <v>1.9597341014430312E-10</v>
      </c>
      <c r="L286" s="152">
        <v>2.1408394880991127E-9</v>
      </c>
      <c r="M286" s="34"/>
      <c r="U286" s="127">
        <v>2.3301748967109888E-9</v>
      </c>
      <c r="V286" s="127">
        <v>2.1408394880991127E-9</v>
      </c>
      <c r="W286" s="127">
        <v>1.5715947406993001E-9</v>
      </c>
      <c r="X286" s="128">
        <f t="shared" si="8"/>
        <v>2.0458621534021286E-9</v>
      </c>
      <c r="Y286" s="139">
        <f t="shared" si="9"/>
        <v>7.7814923803596905E-2</v>
      </c>
      <c r="AA286" s="73"/>
      <c r="AB286" s="176"/>
      <c r="AC286" s="176"/>
      <c r="AD286" s="176"/>
      <c r="AJ286" s="136"/>
    </row>
    <row r="287" spans="9:36" x14ac:dyDescent="0.35">
      <c r="I287" s="49">
        <v>0.13808723568</v>
      </c>
      <c r="J287" s="49">
        <v>1.7960338443364679E-9</v>
      </c>
      <c r="K287" s="49">
        <v>1.8571696709987107E-10</v>
      </c>
      <c r="L287" s="152">
        <v>2.3320400184635387E-9</v>
      </c>
      <c r="M287" s="33"/>
      <c r="U287" s="127">
        <v>1.719817652830701E-9</v>
      </c>
      <c r="V287" s="127">
        <v>2.3320400184635387E-9</v>
      </c>
      <c r="W287" s="127">
        <v>2.1316298444041529E-9</v>
      </c>
      <c r="X287" s="128">
        <f t="shared" si="8"/>
        <v>2.128881883540483E-9</v>
      </c>
      <c r="Y287" s="139">
        <f t="shared" si="9"/>
        <v>3.2120983949416564</v>
      </c>
      <c r="AA287" s="73"/>
      <c r="AB287" s="176"/>
      <c r="AC287" s="176"/>
      <c r="AD287" s="176"/>
      <c r="AJ287" s="136"/>
    </row>
    <row r="288" spans="9:36" x14ac:dyDescent="0.35">
      <c r="I288" s="49">
        <v>0.13946810803699999</v>
      </c>
      <c r="J288" s="49">
        <v>1.8555807851999657E-9</v>
      </c>
      <c r="K288" s="49">
        <v>1.9293359612182081E-10</v>
      </c>
      <c r="L288" s="152">
        <v>1.7677021109044119E-9</v>
      </c>
      <c r="M288" s="35"/>
      <c r="U288" s="127">
        <v>1.5664637505916529E-9</v>
      </c>
      <c r="V288" s="127">
        <v>1.7677021109044119E-9</v>
      </c>
      <c r="W288" s="127">
        <v>2.3055092673241229E-9</v>
      </c>
      <c r="X288" s="128">
        <f t="shared" si="8"/>
        <v>1.8518443099311497E-9</v>
      </c>
      <c r="Y288" s="139">
        <f t="shared" si="9"/>
        <v>3.7506669847785906E-4</v>
      </c>
      <c r="AA288" s="73"/>
      <c r="AB288" s="176"/>
      <c r="AC288" s="176"/>
      <c r="AD288" s="176"/>
      <c r="AJ288" s="136"/>
    </row>
    <row r="289" spans="9:36" x14ac:dyDescent="0.35">
      <c r="I289" s="49">
        <v>0.14086278911700001</v>
      </c>
      <c r="J289" s="49">
        <v>2.1069049750035281E-9</v>
      </c>
      <c r="K289" s="49">
        <v>2.0614395768743471E-10</v>
      </c>
      <c r="L289" s="152">
        <v>1.6348333548876775E-9</v>
      </c>
      <c r="M289" s="34"/>
      <c r="U289" s="127">
        <v>2.1796152797508528E-9</v>
      </c>
      <c r="V289" s="127">
        <v>1.6348333548876775E-9</v>
      </c>
      <c r="W289" s="127">
        <v>1.7670792294228647E-9</v>
      </c>
      <c r="X289" s="128">
        <f t="shared" si="8"/>
        <v>1.8040903047372681E-9</v>
      </c>
      <c r="Y289" s="139">
        <f t="shared" si="9"/>
        <v>2.1578070282699535</v>
      </c>
      <c r="AA289" s="73"/>
      <c r="AB289" s="176"/>
      <c r="AC289" s="176"/>
      <c r="AD289" s="176"/>
      <c r="AJ289" s="136"/>
    </row>
    <row r="290" spans="9:36" x14ac:dyDescent="0.35">
      <c r="I290" s="49">
        <v>0.14227141700900001</v>
      </c>
      <c r="J290" s="49">
        <v>2.1618030942437761E-9</v>
      </c>
      <c r="K290" s="49">
        <v>2.183168301428401E-10</v>
      </c>
      <c r="L290" s="152">
        <v>2.2160539997148424E-9</v>
      </c>
      <c r="M290" s="34"/>
      <c r="U290" s="127">
        <v>2.3699186857917292E-9</v>
      </c>
      <c r="V290" s="127">
        <v>2.2160539997148424E-9</v>
      </c>
      <c r="W290" s="127">
        <v>1.7058523851485658E-9</v>
      </c>
      <c r="X290" s="128">
        <f t="shared" si="8"/>
        <v>2.1269697675924947E-9</v>
      </c>
      <c r="Y290" s="139">
        <f t="shared" si="9"/>
        <v>2.5457483497866393E-2</v>
      </c>
      <c r="AA290" s="73"/>
      <c r="AB290" s="176"/>
      <c r="AC290" s="176"/>
      <c r="AD290" s="176"/>
      <c r="AJ290" s="136"/>
    </row>
    <row r="291" spans="9:36" x14ac:dyDescent="0.35">
      <c r="I291" s="49">
        <v>0.14369413117900001</v>
      </c>
      <c r="J291" s="49">
        <v>1.9111621241862893E-9</v>
      </c>
      <c r="K291" s="49">
        <v>2.0569972868066133E-10</v>
      </c>
      <c r="L291" s="152">
        <v>2.3086895462992296E-9</v>
      </c>
      <c r="M291" s="33"/>
      <c r="U291" s="127">
        <v>1.8024810072140409E-9</v>
      </c>
      <c r="V291" s="127">
        <v>2.3086895462992296E-9</v>
      </c>
      <c r="W291" s="127">
        <v>2.2475274408850574E-9</v>
      </c>
      <c r="X291" s="128">
        <f t="shared" si="8"/>
        <v>2.1668468851743894E-9</v>
      </c>
      <c r="Y291" s="139">
        <f t="shared" si="9"/>
        <v>1.5450489787056727</v>
      </c>
      <c r="AA291" s="73"/>
      <c r="AB291" s="176"/>
      <c r="AC291" s="176"/>
      <c r="AD291" s="176"/>
      <c r="AJ291" s="136"/>
    </row>
    <row r="292" spans="9:36" x14ac:dyDescent="0.35">
      <c r="I292" s="49">
        <v>0.14513107249099999</v>
      </c>
      <c r="J292" s="49">
        <v>1.665920120407225E-9</v>
      </c>
      <c r="K292" s="49">
        <v>1.9577131025749471E-10</v>
      </c>
      <c r="L292" s="152">
        <v>1.7569061511292081E-9</v>
      </c>
      <c r="M292" s="34"/>
      <c r="U292" s="127">
        <v>1.6660362279567294E-9</v>
      </c>
      <c r="V292" s="127">
        <v>1.7569061511292081E-9</v>
      </c>
      <c r="W292" s="127">
        <v>2.198022489646183E-9</v>
      </c>
      <c r="X292" s="128">
        <f t="shared" si="8"/>
        <v>1.844467754965332E-9</v>
      </c>
      <c r="Y292" s="139">
        <f t="shared" si="9"/>
        <v>0.8317831281360164</v>
      </c>
      <c r="AA292" s="73"/>
      <c r="AB292" s="176"/>
      <c r="AC292" s="176"/>
      <c r="AD292" s="176"/>
      <c r="AJ292" s="136"/>
    </row>
    <row r="293" spans="9:36" x14ac:dyDescent="0.35">
      <c r="I293" s="49">
        <v>0.146582383215</v>
      </c>
      <c r="J293" s="49">
        <v>1.8490755879983137E-9</v>
      </c>
      <c r="K293" s="49">
        <v>2.1412071788544877E-10</v>
      </c>
      <c r="L293" s="152">
        <v>1.7719092055183527E-9</v>
      </c>
      <c r="M293" s="34"/>
      <c r="U293" s="127">
        <v>2.2445970881062171E-9</v>
      </c>
      <c r="V293" s="127">
        <v>1.7719092055183527E-9</v>
      </c>
      <c r="W293" s="127">
        <v>1.7154405779643895E-9</v>
      </c>
      <c r="X293" s="128">
        <f t="shared" si="8"/>
        <v>1.8759640192768278E-9</v>
      </c>
      <c r="Y293" s="139">
        <f t="shared" si="9"/>
        <v>1.5769341170512621E-2</v>
      </c>
      <c r="AA293" s="73"/>
      <c r="AB293" s="176"/>
      <c r="AC293" s="176"/>
      <c r="AD293" s="176"/>
      <c r="AJ293" s="136"/>
    </row>
    <row r="294" spans="9:36" x14ac:dyDescent="0.35">
      <c r="I294" s="49">
        <v>0.14804820704800001</v>
      </c>
      <c r="J294" s="49">
        <v>2.2029495444280332E-9</v>
      </c>
      <c r="K294" s="49">
        <v>2.3544445624194299E-10</v>
      </c>
      <c r="L294" s="152">
        <v>2.3057380538746663E-9</v>
      </c>
      <c r="M294" s="33"/>
      <c r="U294" s="127">
        <v>2.3366298391452459E-9</v>
      </c>
      <c r="V294" s="127">
        <v>2.3057380538746663E-9</v>
      </c>
      <c r="W294" s="127">
        <v>1.9307772674598101E-9</v>
      </c>
      <c r="X294" s="128">
        <f t="shared" si="8"/>
        <v>2.2197208035885971E-9</v>
      </c>
      <c r="Y294" s="139">
        <f t="shared" si="9"/>
        <v>5.0740460213062021E-3</v>
      </c>
      <c r="AA294" s="73"/>
      <c r="AB294" s="176"/>
      <c r="AC294" s="176"/>
      <c r="AD294" s="176"/>
      <c r="AJ294" s="136"/>
    </row>
    <row r="295" spans="9:36" x14ac:dyDescent="0.35">
      <c r="I295" s="49">
        <v>0.14952868911799999</v>
      </c>
      <c r="J295" s="49">
        <v>2.1826350418682532E-9</v>
      </c>
      <c r="K295" s="49">
        <v>2.2799642831062785E-10</v>
      </c>
      <c r="L295" s="152">
        <v>2.1802478194461918E-9</v>
      </c>
      <c r="M295" s="34"/>
      <c r="U295" s="127">
        <v>1.7836299260608281E-9</v>
      </c>
      <c r="V295" s="127">
        <v>2.1802478194461918E-9</v>
      </c>
      <c r="W295" s="127">
        <v>2.3476953188472873E-9</v>
      </c>
      <c r="X295" s="128">
        <f t="shared" si="8"/>
        <v>2.122955220950125E-9</v>
      </c>
      <c r="Y295" s="139">
        <f t="shared" si="9"/>
        <v>6.8517094049629343E-2</v>
      </c>
      <c r="AA295" s="73"/>
      <c r="AB295" s="176"/>
      <c r="AC295" s="176"/>
      <c r="AD295" s="176"/>
      <c r="AJ295" s="136"/>
    </row>
    <row r="296" spans="9:36" x14ac:dyDescent="0.35">
      <c r="I296" s="49">
        <v>0.151023976009</v>
      </c>
      <c r="J296" s="49">
        <v>2.0047134464281097E-9</v>
      </c>
      <c r="K296" s="49">
        <v>2.4089842306424277E-10</v>
      </c>
      <c r="L296" s="152">
        <v>1.7217363143307982E-9</v>
      </c>
      <c r="M296" s="35"/>
      <c r="U296" s="127">
        <v>1.793395420120912E-9</v>
      </c>
      <c r="V296" s="127">
        <v>1.7217363143307982E-9</v>
      </c>
      <c r="W296" s="127">
        <v>2.0197098895811823E-9</v>
      </c>
      <c r="X296" s="128">
        <f t="shared" si="8"/>
        <v>1.8141444845909227E-9</v>
      </c>
      <c r="Y296" s="139">
        <f t="shared" si="9"/>
        <v>0.62580124377375534</v>
      </c>
      <c r="AA296" s="73"/>
      <c r="AB296" s="176"/>
      <c r="AC296" s="176"/>
      <c r="AD296" s="176"/>
      <c r="AJ296" s="136"/>
    </row>
    <row r="297" spans="9:36" x14ac:dyDescent="0.35">
      <c r="I297" s="49">
        <v>0.152534215769</v>
      </c>
      <c r="J297" s="49">
        <v>2.0560110431954697E-9</v>
      </c>
      <c r="K297" s="49">
        <v>2.5174250103974537E-10</v>
      </c>
      <c r="L297" s="152">
        <v>1.9975580949586875E-9</v>
      </c>
      <c r="M297" s="34"/>
      <c r="U297" s="127">
        <v>2.3228514701741619E-9</v>
      </c>
      <c r="V297" s="127">
        <v>1.9975580949586875E-9</v>
      </c>
      <c r="W297" s="127">
        <v>1.7734044231245126E-9</v>
      </c>
      <c r="X297" s="128">
        <f t="shared" si="8"/>
        <v>2.0228430208040123E-9</v>
      </c>
      <c r="Y297" s="139">
        <f t="shared" si="9"/>
        <v>1.7359054663852295E-2</v>
      </c>
      <c r="AA297" s="73"/>
      <c r="AB297" s="176"/>
      <c r="AC297" s="176"/>
      <c r="AD297" s="176"/>
      <c r="AJ297" s="136"/>
    </row>
    <row r="298" spans="9:36" x14ac:dyDescent="0.35">
      <c r="I298" s="109">
        <v>0.15405955792699999</v>
      </c>
      <c r="J298" s="109">
        <v>2.0529506212242888E-9</v>
      </c>
      <c r="K298" s="109">
        <v>2.4321717743911874E-10</v>
      </c>
      <c r="L298" s="152">
        <v>2.3648460177250294E-9</v>
      </c>
      <c r="M298" s="33"/>
      <c r="U298" s="127">
        <v>2.1986213874077622E-9</v>
      </c>
      <c r="V298" s="127">
        <v>2.3648460177250294E-9</v>
      </c>
      <c r="W298" s="127">
        <v>2.2021944853455285E-9</v>
      </c>
      <c r="X298" s="128">
        <f t="shared" si="8"/>
        <v>2.2826269770508374E-9</v>
      </c>
      <c r="Y298" s="139">
        <f t="shared" si="9"/>
        <v>0.89175199437622665</v>
      </c>
      <c r="AA298" s="73"/>
      <c r="AB298" s="176"/>
      <c r="AC298" s="176"/>
      <c r="AD298" s="176"/>
      <c r="AJ298" s="136"/>
    </row>
    <row r="299" spans="9:36" x14ac:dyDescent="0.35">
      <c r="I299" s="109">
        <v>0.15560015350600001</v>
      </c>
      <c r="J299" s="109">
        <v>1.3867887664812512E-9</v>
      </c>
      <c r="K299" s="109">
        <v>2.1808276734604427E-10</v>
      </c>
      <c r="L299" s="152">
        <v>1.990856107646833E-9</v>
      </c>
      <c r="M299" s="34"/>
      <c r="U299" s="127">
        <v>1.7387844651750811E-9</v>
      </c>
      <c r="V299" s="127">
        <v>1.990856107646833E-9</v>
      </c>
      <c r="W299" s="127">
        <v>2.2487833549427747E-9</v>
      </c>
      <c r="X299" s="128">
        <f t="shared" si="8"/>
        <v>1.9923200088528807E-9</v>
      </c>
      <c r="Y299" s="139">
        <f t="shared" si="9"/>
        <v>7.7095745439710006</v>
      </c>
      <c r="AA299" s="73"/>
      <c r="AB299" s="176"/>
      <c r="AC299" s="176"/>
      <c r="AD299" s="176"/>
      <c r="AJ299" s="136"/>
    </row>
    <row r="300" spans="9:36" x14ac:dyDescent="0.35">
      <c r="I300" s="109">
        <v>0.157156155041</v>
      </c>
      <c r="J300" s="109">
        <v>2.0775690533756744E-9</v>
      </c>
      <c r="K300" s="109">
        <v>2.6377899677354463E-10</v>
      </c>
      <c r="L300" s="152">
        <v>1.8030512687831811E-9</v>
      </c>
      <c r="M300" s="34"/>
      <c r="U300" s="127">
        <v>2.006185402537773E-9</v>
      </c>
      <c r="V300" s="127">
        <v>1.8030512687831811E-9</v>
      </c>
      <c r="W300" s="127">
        <v>1.8269815393443277E-9</v>
      </c>
      <c r="X300" s="128">
        <f t="shared" si="8"/>
        <v>1.8598173698621156E-9</v>
      </c>
      <c r="Y300" s="139">
        <f t="shared" si="9"/>
        <v>0.68146352969941382</v>
      </c>
      <c r="AA300" s="73"/>
      <c r="AB300" s="176"/>
      <c r="AC300" s="176"/>
      <c r="AD300" s="176"/>
      <c r="AJ300" s="136"/>
    </row>
    <row r="301" spans="9:36" x14ac:dyDescent="0.35">
      <c r="I301" s="109">
        <v>0.158727716592</v>
      </c>
      <c r="J301" s="109">
        <v>2.3987259999875191E-9</v>
      </c>
      <c r="K301" s="109">
        <v>2.785767846962742E-10</v>
      </c>
      <c r="L301" s="152">
        <v>2.2415026800579565E-9</v>
      </c>
      <c r="M301" s="33"/>
      <c r="U301" s="127">
        <v>2.3701137350329801E-9</v>
      </c>
      <c r="V301" s="127">
        <v>2.2415026800579565E-9</v>
      </c>
      <c r="W301" s="127">
        <v>1.9997605979557227E-9</v>
      </c>
      <c r="X301" s="128">
        <f t="shared" si="8"/>
        <v>2.2132199232761539E-9</v>
      </c>
      <c r="Y301" s="139">
        <f t="shared" si="9"/>
        <v>0.44343139518846481</v>
      </c>
      <c r="AA301" s="73"/>
      <c r="AB301" s="176"/>
      <c r="AC301" s="176"/>
      <c r="AD301" s="176"/>
      <c r="AJ301" s="136"/>
    </row>
    <row r="302" spans="9:36" x14ac:dyDescent="0.35">
      <c r="I302" s="109">
        <v>0.16031499375800001</v>
      </c>
      <c r="J302" s="109">
        <v>2.3198755547077904E-9</v>
      </c>
      <c r="K302" s="109">
        <v>2.7479921584298508E-10</v>
      </c>
      <c r="L302" s="152">
        <v>2.2191176305740547E-9</v>
      </c>
      <c r="M302" s="34"/>
      <c r="U302" s="127">
        <v>1.9992110060907807E-9</v>
      </c>
      <c r="V302" s="127">
        <v>2.2191176305740547E-9</v>
      </c>
      <c r="W302" s="127">
        <v>2.291068125957669E-9</v>
      </c>
      <c r="X302" s="128">
        <f t="shared" si="8"/>
        <v>2.1821285982991398E-9</v>
      </c>
      <c r="Y302" s="139">
        <f t="shared" si="9"/>
        <v>0.2512656060078583</v>
      </c>
      <c r="AA302" s="73"/>
      <c r="AB302" s="176"/>
      <c r="AC302" s="176"/>
      <c r="AD302" s="176"/>
      <c r="AJ302" s="136"/>
    </row>
    <row r="303" spans="9:36" x14ac:dyDescent="0.35">
      <c r="I303" s="109">
        <v>0.16191814369499999</v>
      </c>
      <c r="J303" s="109">
        <v>1.3102272674001281E-9</v>
      </c>
      <c r="K303" s="109">
        <v>2.4818233654632686E-10</v>
      </c>
      <c r="L303" s="152">
        <v>1.8140730278293976E-9</v>
      </c>
      <c r="M303" s="34"/>
      <c r="U303" s="127">
        <v>1.8051351458174772E-9</v>
      </c>
      <c r="V303" s="127">
        <v>1.8140730278293976E-9</v>
      </c>
      <c r="W303" s="127">
        <v>1.9549726061456264E-9</v>
      </c>
      <c r="X303" s="128">
        <f t="shared" si="8"/>
        <v>1.8470634519054747E-9</v>
      </c>
      <c r="Y303" s="139">
        <f t="shared" si="9"/>
        <v>4.6788791075606939</v>
      </c>
      <c r="AA303" s="73"/>
      <c r="AB303" s="176"/>
      <c r="AC303" s="176"/>
      <c r="AD303" s="176"/>
      <c r="AJ303" s="136"/>
    </row>
    <row r="304" spans="9:36" x14ac:dyDescent="0.35">
      <c r="I304" s="109">
        <v>0.16353732513200001</v>
      </c>
      <c r="J304" s="109">
        <v>1.3106799398081102E-9</v>
      </c>
      <c r="K304" s="109">
        <v>2.4465140689105744E-10</v>
      </c>
      <c r="L304" s="152">
        <v>2.0339340797833649E-9</v>
      </c>
      <c r="M304" s="35"/>
      <c r="U304" s="127">
        <v>2.232938874684589E-9</v>
      </c>
      <c r="V304" s="127">
        <v>2.0339340797833649E-9</v>
      </c>
      <c r="W304" s="127">
        <v>1.8932758830105054E-9</v>
      </c>
      <c r="X304" s="128">
        <f t="shared" si="8"/>
        <v>2.048520729315456E-9</v>
      </c>
      <c r="Y304" s="139">
        <f t="shared" si="9"/>
        <v>9.0955692669657751</v>
      </c>
      <c r="AA304" s="73"/>
      <c r="AB304" s="176"/>
      <c r="AC304" s="176"/>
      <c r="AD304" s="176"/>
      <c r="AJ304" s="136"/>
    </row>
    <row r="305" spans="9:36" x14ac:dyDescent="0.35">
      <c r="I305" s="109">
        <v>0.16517269838400001</v>
      </c>
      <c r="J305" s="109">
        <v>2.0166447981970077E-9</v>
      </c>
      <c r="K305" s="109">
        <v>2.7406089004725297E-10</v>
      </c>
      <c r="L305" s="152">
        <v>2.2736532518005039E-9</v>
      </c>
      <c r="M305" s="33"/>
      <c r="U305" s="127">
        <v>2.2123854427390791E-9</v>
      </c>
      <c r="V305" s="127">
        <v>2.2736532518005039E-9</v>
      </c>
      <c r="W305" s="127">
        <v>2.2451187092845298E-9</v>
      </c>
      <c r="X305" s="128">
        <f t="shared" si="8"/>
        <v>2.2512026639061542E-9</v>
      </c>
      <c r="Y305" s="139">
        <f t="shared" si="9"/>
        <v>0.73249704133254001</v>
      </c>
      <c r="AA305" s="73"/>
      <c r="AB305" s="176"/>
      <c r="AC305" s="176"/>
      <c r="AD305" s="176"/>
      <c r="AJ305" s="136"/>
    </row>
    <row r="306" spans="9:36" x14ac:dyDescent="0.35">
      <c r="I306" s="109">
        <v>0.16682442536700001</v>
      </c>
      <c r="J306" s="109">
        <v>1.6016993269028315E-9</v>
      </c>
      <c r="K306" s="109">
        <v>2.7570286299226554E-10</v>
      </c>
      <c r="L306" s="152">
        <v>1.9158654687864576E-9</v>
      </c>
      <c r="M306" s="34"/>
      <c r="U306" s="127">
        <v>1.8079713802027015E-9</v>
      </c>
      <c r="V306" s="127">
        <v>1.9158654687864576E-9</v>
      </c>
      <c r="W306" s="127">
        <v>2.0566218929242297E-9</v>
      </c>
      <c r="X306" s="128">
        <f t="shared" si="8"/>
        <v>1.9240810526749616E-9</v>
      </c>
      <c r="Y306" s="139">
        <f t="shared" si="9"/>
        <v>1.3672825768468162</v>
      </c>
      <c r="AA306" s="73"/>
      <c r="AB306" s="176"/>
      <c r="AC306" s="176"/>
      <c r="AD306" s="176"/>
      <c r="AJ306" s="136"/>
    </row>
    <row r="307" spans="9:36" x14ac:dyDescent="0.35">
      <c r="I307" s="109">
        <v>0.16849266962100001</v>
      </c>
      <c r="J307" s="109">
        <v>2.4220609187730407E-9</v>
      </c>
      <c r="K307" s="109">
        <v>3.094138741661013E-10</v>
      </c>
      <c r="L307" s="152">
        <v>1.9070172028920263E-9</v>
      </c>
      <c r="M307" s="34"/>
      <c r="U307" s="127">
        <v>2.0151641710950966E-9</v>
      </c>
      <c r="V307" s="127">
        <v>1.9070172028920263E-9</v>
      </c>
      <c r="W307" s="127">
        <v>1.858988040776078E-9</v>
      </c>
      <c r="X307" s="128">
        <f t="shared" si="8"/>
        <v>1.922046654413807E-9</v>
      </c>
      <c r="Y307" s="139">
        <f t="shared" si="9"/>
        <v>2.6114710803423788</v>
      </c>
      <c r="AA307" s="73"/>
      <c r="AB307" s="176"/>
      <c r="AC307" s="176"/>
      <c r="AD307" s="176"/>
      <c r="AJ307" s="136"/>
    </row>
    <row r="308" spans="9:36" x14ac:dyDescent="0.35">
      <c r="I308" s="109">
        <v>0.170177596317</v>
      </c>
      <c r="J308" s="109">
        <v>1.9783787069694243E-9</v>
      </c>
      <c r="K308" s="109">
        <v>3.0168587560621787E-10</v>
      </c>
      <c r="L308" s="152">
        <v>2.2331910951794223E-9</v>
      </c>
      <c r="M308" s="33"/>
      <c r="U308" s="127">
        <v>2.2509788458591935E-9</v>
      </c>
      <c r="V308" s="127">
        <v>2.2331910951794223E-9</v>
      </c>
      <c r="W308" s="127">
        <v>2.1649643261961616E-9</v>
      </c>
      <c r="X308" s="128">
        <f t="shared" ref="X308:X322" si="10">(U308+2*V308+W308)/4</f>
        <v>2.2205813406035498E-9</v>
      </c>
      <c r="Y308" s="139">
        <f t="shared" ref="Y308:Y322" si="11">(J308-X308)*(J308-X308)/(K308*K308)</f>
        <v>0.64453687175640517</v>
      </c>
      <c r="AA308" s="73"/>
      <c r="AB308" s="176"/>
      <c r="AC308" s="176"/>
      <c r="AD308" s="176"/>
      <c r="AJ308" s="136"/>
    </row>
    <row r="309" spans="9:36" x14ac:dyDescent="0.35">
      <c r="I309" s="109">
        <v>0.17187937228</v>
      </c>
      <c r="J309" s="109">
        <v>1.7059579022817009E-9</v>
      </c>
      <c r="K309" s="109">
        <v>2.9319515739407101E-10</v>
      </c>
      <c r="L309" s="152">
        <v>2.0025126309703328E-9</v>
      </c>
      <c r="M309" s="34"/>
      <c r="U309" s="127">
        <v>1.8982549336637744E-9</v>
      </c>
      <c r="V309" s="127">
        <v>2.0025126309703328E-9</v>
      </c>
      <c r="W309" s="127">
        <v>2.0833341479447727E-9</v>
      </c>
      <c r="X309" s="128">
        <f t="shared" si="10"/>
        <v>1.9966535858873033E-9</v>
      </c>
      <c r="Y309" s="139">
        <f t="shared" si="11"/>
        <v>0.98302277658882498</v>
      </c>
      <c r="AA309" s="73"/>
      <c r="AB309" s="176"/>
      <c r="AC309" s="176"/>
      <c r="AD309" s="176"/>
      <c r="AJ309" s="136"/>
    </row>
    <row r="310" spans="9:36" x14ac:dyDescent="0.35">
      <c r="I310" s="109">
        <v>0.17359816600299999</v>
      </c>
      <c r="J310" s="109">
        <v>2.4338672623213035E-9</v>
      </c>
      <c r="K310" s="109">
        <v>3.2844615346795699E-10</v>
      </c>
      <c r="L310" s="152">
        <v>1.8481480209324004E-9</v>
      </c>
      <c r="M310" s="34"/>
      <c r="U310" s="127">
        <v>1.8788770818883407E-9</v>
      </c>
      <c r="V310" s="127">
        <v>1.8481480209324004E-9</v>
      </c>
      <c r="W310" s="127">
        <v>1.8429288165398056E-9</v>
      </c>
      <c r="X310" s="128">
        <f t="shared" si="10"/>
        <v>1.8545254850732368E-9</v>
      </c>
      <c r="Y310" s="139">
        <f t="shared" si="11"/>
        <v>3.1112960270701788</v>
      </c>
      <c r="AA310" s="73"/>
      <c r="AB310" s="176"/>
      <c r="AC310" s="176"/>
      <c r="AD310" s="176"/>
      <c r="AJ310" s="136"/>
    </row>
    <row r="311" spans="9:36" x14ac:dyDescent="0.35">
      <c r="I311" s="109">
        <v>0.17533414766300001</v>
      </c>
      <c r="J311" s="109">
        <v>2.1240124033865357E-9</v>
      </c>
      <c r="K311" s="109">
        <v>3.292918085331736E-10</v>
      </c>
      <c r="L311" s="152">
        <v>2.1472482298162693E-9</v>
      </c>
      <c r="M311" s="34"/>
      <c r="U311" s="127">
        <v>2.195065888409503E-9</v>
      </c>
      <c r="V311" s="127">
        <v>2.1472482298162693E-9</v>
      </c>
      <c r="W311" s="127">
        <v>2.0867474621031645E-9</v>
      </c>
      <c r="X311" s="128">
        <f t="shared" si="10"/>
        <v>2.1440774525363015E-9</v>
      </c>
      <c r="Y311" s="139">
        <f t="shared" si="11"/>
        <v>3.7129457271534868E-3</v>
      </c>
      <c r="AA311" s="73"/>
      <c r="AB311" s="176"/>
      <c r="AC311" s="176"/>
      <c r="AD311" s="176"/>
      <c r="AJ311" s="136"/>
    </row>
    <row r="312" spans="9:36" x14ac:dyDescent="0.35">
      <c r="I312" s="109">
        <v>0.17708748914</v>
      </c>
      <c r="J312" s="109">
        <v>2.1631210177446547E-9</v>
      </c>
      <c r="K312" s="109">
        <v>3.4734408533509388E-10</v>
      </c>
      <c r="L312" s="152">
        <v>2.0184464326727651E-9</v>
      </c>
      <c r="M312" s="33"/>
      <c r="U312" s="127">
        <v>1.9702192753490814E-9</v>
      </c>
      <c r="V312" s="127">
        <v>2.0184464326727651E-9</v>
      </c>
      <c r="W312" s="127">
        <v>2.0492196918648094E-9</v>
      </c>
      <c r="X312" s="128">
        <f t="shared" si="10"/>
        <v>2.0140829581398554E-9</v>
      </c>
      <c r="Y312" s="139">
        <f t="shared" si="11"/>
        <v>0.1841088050741361</v>
      </c>
      <c r="AA312" s="73"/>
      <c r="AB312" s="176"/>
      <c r="AC312" s="176"/>
      <c r="AD312" s="176"/>
      <c r="AJ312" s="136"/>
    </row>
    <row r="313" spans="9:36" x14ac:dyDescent="0.35">
      <c r="I313" s="109">
        <v>0.178858364031</v>
      </c>
      <c r="J313" s="109">
        <v>1.6498265848162775E-9</v>
      </c>
      <c r="K313" s="109">
        <v>3.3838754092641769E-10</v>
      </c>
      <c r="L313" s="152">
        <v>1.8109947030724985E-9</v>
      </c>
      <c r="M313" s="34"/>
      <c r="U313" s="127">
        <v>1.8088317488774162E-9</v>
      </c>
      <c r="V313" s="127">
        <v>1.8109947030724985E-9</v>
      </c>
      <c r="W313" s="127">
        <v>1.8212773210566788E-9</v>
      </c>
      <c r="X313" s="128">
        <f t="shared" si="10"/>
        <v>1.8130246190197731E-9</v>
      </c>
      <c r="Y313" s="139">
        <f t="shared" si="11"/>
        <v>0.23259539787941505</v>
      </c>
      <c r="AA313" s="73"/>
      <c r="AB313" s="176"/>
      <c r="AC313" s="176"/>
      <c r="AD313" s="176"/>
      <c r="AJ313" s="136"/>
    </row>
    <row r="314" spans="9:36" x14ac:dyDescent="0.35">
      <c r="I314" s="109">
        <v>0.18064694767200001</v>
      </c>
      <c r="J314" s="109">
        <v>2.5261463880666058E-9</v>
      </c>
      <c r="K314" s="109">
        <v>3.8865662229059419E-10</v>
      </c>
      <c r="L314" s="152">
        <v>2.0561140854413316E-9</v>
      </c>
      <c r="M314" s="34"/>
      <c r="U314" s="127">
        <v>2.0939081011825722E-9</v>
      </c>
      <c r="V314" s="127">
        <v>2.0561140854413316E-9</v>
      </c>
      <c r="W314" s="127">
        <v>2.0253903614548334E-9</v>
      </c>
      <c r="X314" s="128">
        <f t="shared" si="10"/>
        <v>2.0578816583800171E-9</v>
      </c>
      <c r="Y314" s="139">
        <f t="shared" si="11"/>
        <v>1.4516126719171238</v>
      </c>
      <c r="AA314" s="73"/>
      <c r="AB314" s="176"/>
      <c r="AC314" s="176"/>
      <c r="AD314" s="176"/>
      <c r="AJ314" s="136"/>
    </row>
    <row r="315" spans="9:36" x14ac:dyDescent="0.35">
      <c r="I315" s="109">
        <v>0.18245341714800001</v>
      </c>
      <c r="J315" s="109">
        <v>2.3814311541026463E-9</v>
      </c>
      <c r="K315" s="109">
        <v>3.588981468484656E-10</v>
      </c>
      <c r="L315" s="152">
        <v>1.9741186701610002E-9</v>
      </c>
      <c r="M315" s="33"/>
      <c r="U315" s="127">
        <v>1.9699929381670149E-9</v>
      </c>
      <c r="V315" s="127">
        <v>1.9741186701610002E-9</v>
      </c>
      <c r="W315" s="127">
        <v>1.9806147873124992E-9</v>
      </c>
      <c r="X315" s="128">
        <f t="shared" si="10"/>
        <v>1.9747112664503787E-9</v>
      </c>
      <c r="Y315" s="139">
        <f t="shared" si="11"/>
        <v>1.2842464859623361</v>
      </c>
      <c r="AA315" s="73"/>
      <c r="AB315" s="176"/>
      <c r="AC315" s="176"/>
      <c r="AD315" s="176"/>
      <c r="AJ315" s="136"/>
    </row>
    <row r="316" spans="9:36" x14ac:dyDescent="0.35">
      <c r="I316" s="109">
        <v>0.18427795131999999</v>
      </c>
      <c r="J316" s="109">
        <v>1.9042204689481924E-9</v>
      </c>
      <c r="K316" s="109">
        <v>3.6193583147082171E-10</v>
      </c>
      <c r="L316" s="152">
        <v>1.773441755220258E-9</v>
      </c>
      <c r="M316" s="34"/>
      <c r="U316" s="127">
        <v>1.758680178832661E-9</v>
      </c>
      <c r="V316" s="127">
        <v>1.773441755220258E-9</v>
      </c>
      <c r="W316" s="127">
        <v>1.7940723751605019E-9</v>
      </c>
      <c r="X316" s="128">
        <f t="shared" si="10"/>
        <v>1.7749090161084196E-9</v>
      </c>
      <c r="Y316" s="139">
        <f t="shared" si="11"/>
        <v>0.12764706159039144</v>
      </c>
      <c r="AA316" s="73"/>
      <c r="AB316" s="176"/>
      <c r="AC316" s="176"/>
      <c r="AD316" s="176"/>
      <c r="AJ316" s="136"/>
    </row>
    <row r="317" spans="9:36" x14ac:dyDescent="0.35">
      <c r="I317" s="109">
        <v>0.18612073083299999</v>
      </c>
      <c r="J317" s="109">
        <v>1.5166962011419902E-9</v>
      </c>
      <c r="K317" s="109">
        <v>3.4639811306924303E-10</v>
      </c>
      <c r="L317" s="152">
        <v>1.9779092210453264E-9</v>
      </c>
      <c r="M317" s="34"/>
      <c r="U317" s="127">
        <v>1.9882636384900186E-9</v>
      </c>
      <c r="V317" s="127">
        <v>1.9779092210453264E-9</v>
      </c>
      <c r="W317" s="127">
        <v>1.9769186977548393E-9</v>
      </c>
      <c r="X317" s="128">
        <f t="shared" si="10"/>
        <v>1.9802501945838775E-9</v>
      </c>
      <c r="Y317" s="139">
        <f t="shared" si="11"/>
        <v>1.7908104433333809</v>
      </c>
      <c r="AA317" s="73"/>
      <c r="AB317" s="176"/>
      <c r="AC317" s="176"/>
      <c r="AD317" s="176"/>
      <c r="AJ317" s="136"/>
    </row>
    <row r="318" spans="9:36" x14ac:dyDescent="0.35">
      <c r="I318" s="109">
        <v>0.187981938141</v>
      </c>
      <c r="J318" s="109">
        <v>2.1017721533130384E-9</v>
      </c>
      <c r="K318" s="109">
        <v>3.9936771316221193E-10</v>
      </c>
      <c r="L318" s="152">
        <v>1.8944938790306821E-9</v>
      </c>
      <c r="M318" s="33"/>
      <c r="U318" s="127">
        <v>1.9103047330859748E-9</v>
      </c>
      <c r="V318" s="127">
        <v>1.8944938790306821E-9</v>
      </c>
      <c r="W318" s="127">
        <v>1.8873385539251591E-9</v>
      </c>
      <c r="X318" s="128">
        <f t="shared" si="10"/>
        <v>1.8966577612681244E-9</v>
      </c>
      <c r="Y318" s="139">
        <f t="shared" si="11"/>
        <v>0.26378273404850028</v>
      </c>
      <c r="AA318" s="73"/>
      <c r="AB318" s="176"/>
      <c r="AC318" s="176"/>
      <c r="AD318" s="176"/>
      <c r="AJ318" s="136"/>
    </row>
    <row r="319" spans="9:36" x14ac:dyDescent="0.35">
      <c r="I319" s="109">
        <v>0.189861757523</v>
      </c>
      <c r="J319" s="109">
        <v>1.5320556996520972E-9</v>
      </c>
      <c r="K319" s="109">
        <v>4.0569801481751879E-10</v>
      </c>
      <c r="L319" s="152">
        <v>1.7336271869492812E-9</v>
      </c>
      <c r="M319" s="34"/>
      <c r="U319" s="127">
        <v>1.7069853360186943E-9</v>
      </c>
      <c r="V319" s="127">
        <v>1.7336271869492812E-9</v>
      </c>
      <c r="W319" s="127">
        <v>1.7543383118591383E-9</v>
      </c>
      <c r="X319" s="128">
        <f t="shared" si="10"/>
        <v>1.7321445054440989E-9</v>
      </c>
      <c r="Y319" s="139">
        <f t="shared" si="11"/>
        <v>0.24324270209458881</v>
      </c>
      <c r="AA319" s="73"/>
      <c r="AB319" s="176"/>
      <c r="AC319" s="176"/>
      <c r="AD319" s="176"/>
      <c r="AJ319" s="136"/>
    </row>
    <row r="320" spans="9:36" x14ac:dyDescent="0.35">
      <c r="I320" s="109">
        <v>0.19176037509800001</v>
      </c>
      <c r="J320" s="109">
        <v>1.1742545330193857E-9</v>
      </c>
      <c r="K320" s="109">
        <v>3.6935358527944743E-10</v>
      </c>
      <c r="L320" s="152">
        <v>1.9090194193580785E-9</v>
      </c>
      <c r="M320" s="34"/>
      <c r="U320" s="127">
        <v>1.895783543235832E-9</v>
      </c>
      <c r="V320" s="127">
        <v>1.9090194193580785E-9</v>
      </c>
      <c r="W320" s="127">
        <v>1.8996037230783361E-9</v>
      </c>
      <c r="X320" s="128">
        <f t="shared" si="10"/>
        <v>1.9033565262575814E-9</v>
      </c>
      <c r="Y320" s="139">
        <f t="shared" si="11"/>
        <v>3.896654792057233</v>
      </c>
      <c r="AA320" s="73"/>
      <c r="AB320" s="176"/>
      <c r="AC320" s="176"/>
      <c r="AD320" s="176"/>
      <c r="AJ320" s="136"/>
    </row>
    <row r="321" spans="9:36" x14ac:dyDescent="0.35">
      <c r="I321" s="109">
        <v>0.19367797884900001</v>
      </c>
      <c r="J321" s="109">
        <v>9.3961515315676049E-10</v>
      </c>
      <c r="K321" s="109">
        <v>3.7523412845431051E-10</v>
      </c>
      <c r="L321" s="152">
        <v>1.7891821344135686E-9</v>
      </c>
      <c r="M321" s="33"/>
      <c r="U321" s="127">
        <v>1.8165802147103941E-9</v>
      </c>
      <c r="V321" s="127">
        <v>1.7891821344135686E-9</v>
      </c>
      <c r="W321" s="127">
        <v>1.7526443630621803E-9</v>
      </c>
      <c r="X321" s="128">
        <f t="shared" si="10"/>
        <v>1.7868972116499278E-9</v>
      </c>
      <c r="Y321" s="139">
        <f t="shared" si="11"/>
        <v>5.0986048767957843</v>
      </c>
      <c r="AA321" s="73"/>
      <c r="AB321" s="176"/>
      <c r="AC321" s="176"/>
      <c r="AD321" s="176"/>
      <c r="AJ321" s="136"/>
    </row>
    <row r="322" spans="9:36" x14ac:dyDescent="0.35">
      <c r="I322" s="109">
        <v>0.19561475863700001</v>
      </c>
      <c r="J322" s="109">
        <v>1.6989771432958984E-9</v>
      </c>
      <c r="K322" s="109">
        <v>4.4167179314297127E-10</v>
      </c>
      <c r="L322" s="152">
        <v>1.6809312060957221E-9</v>
      </c>
      <c r="M322" s="34"/>
      <c r="U322" s="127">
        <v>1.6522754872953198E-9</v>
      </c>
      <c r="V322" s="127">
        <v>1.6809312060957221E-9</v>
      </c>
      <c r="W322" s="127">
        <v>1.7002528211230738E-9</v>
      </c>
      <c r="X322" s="128">
        <f t="shared" si="10"/>
        <v>1.6785976801524593E-9</v>
      </c>
      <c r="Y322" s="139">
        <f t="shared" si="11"/>
        <v>2.1290514153666546E-3</v>
      </c>
      <c r="AA322" s="73"/>
      <c r="AB322" s="176"/>
      <c r="AC322" s="176"/>
      <c r="AD322" s="176"/>
      <c r="AJ322" s="136"/>
    </row>
    <row r="323" spans="9:36" x14ac:dyDescent="0.35">
      <c r="I323" s="109">
        <v>0.197570906224</v>
      </c>
      <c r="J323" s="109">
        <v>1.6298571576030406E-9</v>
      </c>
      <c r="K323" s="109">
        <v>4.3235166055253702E-10</v>
      </c>
      <c r="L323" s="152">
        <v>1.807202333565008E-9</v>
      </c>
      <c r="M323" s="34"/>
      <c r="U323" s="127">
        <v>1.8120712004163834E-9</v>
      </c>
      <c r="V323" s="127">
        <v>1.807202333565008E-9</v>
      </c>
      <c r="W323" s="127">
        <v>1.7855454566239779E-9</v>
      </c>
      <c r="X323" s="128">
        <f t="shared" ref="X323" si="12">(U323+2*V323+W323)/4</f>
        <v>1.8030053310425944E-9</v>
      </c>
      <c r="Y323" s="139">
        <f t="shared" ref="Y323" si="13">(J323-X323)*(J323-X323)/(K323*K323)</f>
        <v>0.16038419412948937</v>
      </c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920.65585213208135</v>
      </c>
      <c r="C2" s="165">
        <f>dDstack!D4</f>
        <v>159.08004374136698</v>
      </c>
      <c r="D2" s="169"/>
    </row>
    <row r="3" spans="1:4" ht="18" x14ac:dyDescent="0.35">
      <c r="A3" s="93" t="s">
        <v>628</v>
      </c>
      <c r="B3" s="165">
        <f>Reflectivity!H10</f>
        <v>1133.1885176438489</v>
      </c>
      <c r="C3" s="165">
        <f>dTotal!D4</f>
        <v>16.24783559534233</v>
      </c>
      <c r="D3" s="169"/>
    </row>
    <row r="4" spans="1:4" ht="18" x14ac:dyDescent="0.35">
      <c r="A4" s="93" t="s">
        <v>629</v>
      </c>
      <c r="B4" s="165">
        <f>B3-B2</f>
        <v>212.5326655117675</v>
      </c>
      <c r="C4" s="165">
        <f>SQRT(C2^2+C3^2)</f>
        <v>159.90763733570859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11.808581154786037</v>
      </c>
      <c r="C6" s="165">
        <f>sigDstack!D4</f>
        <v>10.013918282125895</v>
      </c>
      <c r="D6" s="169"/>
    </row>
    <row r="7" spans="1:4" ht="18" x14ac:dyDescent="0.35">
      <c r="A7" s="93" t="s">
        <v>624</v>
      </c>
      <c r="B7" s="165">
        <f>Reflectivity!G5</f>
        <v>212.5326655117675</v>
      </c>
      <c r="C7" s="165">
        <f>sigHstack!D4</f>
        <v>491.45864093394255</v>
      </c>
      <c r="D7" s="167"/>
    </row>
    <row r="9" spans="1:4" ht="18" x14ac:dyDescent="0.35">
      <c r="A9" s="93" t="s">
        <v>622</v>
      </c>
      <c r="B9" s="167">
        <f>Reflectivity!H18</f>
        <v>0.24134105118899088</v>
      </c>
      <c r="C9" s="167">
        <f>'f_d^D'!D4</f>
        <v>5.4255313557335587E-2</v>
      </c>
      <c r="D9" s="165"/>
    </row>
    <row r="10" spans="1:4" ht="18" x14ac:dyDescent="0.35">
      <c r="A10" s="93" t="s">
        <v>619</v>
      </c>
      <c r="B10" s="167">
        <f>Reflectivity!H20</f>
        <v>0.15127149982593599</v>
      </c>
      <c r="C10" s="167">
        <f>'f_d^H'!D4</f>
        <v>7.1167600102469336E-2</v>
      </c>
      <c r="D10" s="165"/>
    </row>
    <row r="11" spans="1:4" ht="18" x14ac:dyDescent="0.35">
      <c r="A11" s="93" t="s">
        <v>616</v>
      </c>
      <c r="B11" s="167">
        <f>Reflectivity!H16</f>
        <v>0.24069629974121684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1.210589058721542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1.9800077228275033E-6</v>
      </c>
      <c r="C14" s="168">
        <f>SQRT(C12^2*B15^2+C11^2*B16^2+C9^2*B17^2)</f>
        <v>1.2386887060137377E-7</v>
      </c>
      <c r="D14" s="168">
        <f>NbDstack!D4</f>
        <v>7.6290509416515042E-8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1.6355737800228557E-6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4.8069111374260105E-7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1.656577982463461E-6</v>
      </c>
      <c r="C17" s="168"/>
      <c r="D17" s="167"/>
    </row>
    <row r="19" spans="1:4" ht="18" x14ac:dyDescent="0.35">
      <c r="A19" s="93" t="s">
        <v>637</v>
      </c>
      <c r="B19" s="168">
        <f>Reflectivity!C5</f>
        <v>1.8308004871491046E-6</v>
      </c>
      <c r="C19" s="168">
        <f>SQRT(C12^2*B20^2+C11^2*B21^2+C10^2*B22^2)</f>
        <v>1.4023336537620186E-7</v>
      </c>
      <c r="D19" s="168">
        <f>NbHstack!D4</f>
        <v>1.2728842433757291E-7</v>
      </c>
    </row>
    <row r="20" spans="1:4" ht="18" x14ac:dyDescent="0.35">
      <c r="A20" s="93" t="s">
        <v>638</v>
      </c>
      <c r="B20" s="168">
        <f>B19/B12</f>
        <v>1.5123220170869088E-6</v>
      </c>
      <c r="C20" s="168"/>
      <c r="D20" s="167"/>
    </row>
    <row r="21" spans="1:4" ht="18" x14ac:dyDescent="0.35">
      <c r="A21" s="93" t="s">
        <v>639</v>
      </c>
      <c r="B21" s="168">
        <f>B12*(-Reflectivity!C16+(1-B10)*Reflectivity!D16+B10*(Reflectivity!E18/Reflectivity!D18)*Reflectivity!E16)</f>
        <v>-1.3920722220530429E-7</v>
      </c>
      <c r="C21" s="168"/>
      <c r="D21" s="167"/>
    </row>
    <row r="22" spans="1:4" ht="18" x14ac:dyDescent="0.35">
      <c r="A22" s="93" t="s">
        <v>640</v>
      </c>
      <c r="B22" s="168">
        <f>B12*B11*(-Reflectivity!D16+(Reflectivity!E18/Reflectivity!D18)*Reflectivity!E16)</f>
        <v>1.656577982463461E-6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1127</v>
      </c>
      <c r="C2" s="105">
        <v>1147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1127</v>
      </c>
      <c r="B4" s="94">
        <v>2.6658877388326507</v>
      </c>
      <c r="C4" s="106">
        <v>1133.1885176438489</v>
      </c>
      <c r="D4" s="106">
        <v>16.24783559534233</v>
      </c>
    </row>
    <row r="5" spans="1:5" x14ac:dyDescent="0.35">
      <c r="A5" s="106">
        <v>1131</v>
      </c>
      <c r="B5" s="94">
        <v>2.5295885560685347</v>
      </c>
      <c r="C5" s="94"/>
      <c r="D5" s="94"/>
    </row>
    <row r="6" spans="1:5" x14ac:dyDescent="0.35">
      <c r="A6" s="106">
        <v>1135</v>
      </c>
      <c r="B6" s="94">
        <v>2.5236412070987209</v>
      </c>
      <c r="C6" s="94"/>
      <c r="D6" s="94"/>
    </row>
    <row r="7" spans="1:5" x14ac:dyDescent="0.35">
      <c r="A7" s="106">
        <v>1139</v>
      </c>
      <c r="B7" s="94">
        <v>2.6472105090319991</v>
      </c>
      <c r="C7" s="94"/>
      <c r="D7" s="94"/>
    </row>
    <row r="8" spans="1:5" x14ac:dyDescent="0.35">
      <c r="A8" s="106">
        <v>1143</v>
      </c>
      <c r="B8" s="94">
        <v>2.8899098709263722</v>
      </c>
      <c r="C8" s="94"/>
      <c r="D8" s="94"/>
    </row>
    <row r="9" spans="1:5" x14ac:dyDescent="0.35">
      <c r="A9" s="106">
        <v>1147</v>
      </c>
      <c r="B9" s="94">
        <v>3.233501352802707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9.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850</v>
      </c>
      <c r="C2" s="105">
        <v>1010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850</v>
      </c>
      <c r="B4" s="94">
        <v>2.6906778288190707</v>
      </c>
      <c r="C4" s="106">
        <v>920.65585213208135</v>
      </c>
      <c r="D4" s="106">
        <v>159.08004374136698</v>
      </c>
    </row>
    <row r="5" spans="1:5" x14ac:dyDescent="0.35">
      <c r="A5" s="106">
        <v>882</v>
      </c>
      <c r="B5" s="94">
        <v>2.5968683641561001</v>
      </c>
      <c r="C5" s="94"/>
      <c r="D5" s="94"/>
    </row>
    <row r="6" spans="1:5" x14ac:dyDescent="0.35">
      <c r="A6" s="106">
        <v>914</v>
      </c>
      <c r="B6" s="94">
        <v>2.5292430725001909</v>
      </c>
      <c r="C6" s="94"/>
      <c r="D6" s="94"/>
    </row>
    <row r="7" spans="1:5" x14ac:dyDescent="0.35">
      <c r="A7" s="106">
        <v>946</v>
      </c>
      <c r="B7" s="94">
        <v>2.5139054668047209</v>
      </c>
      <c r="C7" s="94"/>
      <c r="D7" s="94"/>
    </row>
    <row r="8" spans="1:5" x14ac:dyDescent="0.35">
      <c r="A8" s="106">
        <v>978</v>
      </c>
      <c r="B8" s="94">
        <v>2.6260931427546854</v>
      </c>
      <c r="C8" s="94"/>
      <c r="D8" s="94"/>
    </row>
    <row r="9" spans="1:5" x14ac:dyDescent="0.35">
      <c r="A9" s="106">
        <v>1010</v>
      </c>
      <c r="B9" s="94">
        <v>2.8416298339224233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0.2</v>
      </c>
      <c r="C2" s="162">
        <v>0.26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0.2</v>
      </c>
      <c r="B4" s="94">
        <v>3.0063165349272714</v>
      </c>
      <c r="C4" s="161">
        <v>0.24134105118899088</v>
      </c>
      <c r="D4" s="161">
        <v>5.4255313557335587E-2</v>
      </c>
    </row>
    <row r="5" spans="1:5" x14ac:dyDescent="0.35">
      <c r="A5" s="161">
        <v>0.21200000000000002</v>
      </c>
      <c r="B5" s="94">
        <v>2.7468601029014486</v>
      </c>
      <c r="C5" s="94"/>
      <c r="D5" s="94"/>
    </row>
    <row r="6" spans="1:5" x14ac:dyDescent="0.35">
      <c r="A6" s="161">
        <v>0.224</v>
      </c>
      <c r="B6" s="94">
        <v>2.5505129029146829</v>
      </c>
      <c r="C6" s="94"/>
      <c r="D6" s="94"/>
    </row>
    <row r="7" spans="1:5" x14ac:dyDescent="0.35">
      <c r="A7" s="161">
        <v>0.23600000000000002</v>
      </c>
      <c r="B7" s="94">
        <v>2.4379883475648887</v>
      </c>
      <c r="C7" s="94"/>
      <c r="D7" s="94"/>
    </row>
    <row r="8" spans="1:5" x14ac:dyDescent="0.35">
      <c r="A8" s="161">
        <v>0.248</v>
      </c>
      <c r="B8" s="94">
        <v>2.4349110636290887</v>
      </c>
      <c r="C8" s="94"/>
      <c r="D8" s="94"/>
    </row>
    <row r="9" spans="1:5" x14ac:dyDescent="0.35">
      <c r="A9" s="161">
        <v>0.26</v>
      </c>
      <c r="B9" s="94">
        <v>2.5687319604686065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636</v>
      </c>
      <c r="B2" s="162">
        <v>0.1</v>
      </c>
      <c r="C2" s="162">
        <v>0.2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0.1</v>
      </c>
      <c r="B4" s="94">
        <v>2.9403052972458226</v>
      </c>
      <c r="C4" s="161">
        <v>0.15127149982593599</v>
      </c>
      <c r="D4" s="161">
        <v>7.1167600102469336E-2</v>
      </c>
    </row>
    <row r="5" spans="1:5" x14ac:dyDescent="0.35">
      <c r="A5" s="161">
        <v>0.12000000000000001</v>
      </c>
      <c r="B5" s="94">
        <v>2.6136376068673113</v>
      </c>
      <c r="C5" s="94"/>
      <c r="D5" s="94"/>
    </row>
    <row r="6" spans="1:5" x14ac:dyDescent="0.35">
      <c r="A6" s="161">
        <v>0.14000000000000001</v>
      </c>
      <c r="B6" s="94">
        <v>2.4463420335817512</v>
      </c>
      <c r="C6" s="94"/>
      <c r="D6" s="94"/>
    </row>
    <row r="7" spans="1:5" x14ac:dyDescent="0.35">
      <c r="A7" s="161">
        <v>0.16</v>
      </c>
      <c r="B7" s="94">
        <v>2.4364073992429733</v>
      </c>
      <c r="C7" s="94"/>
      <c r="D7" s="94"/>
    </row>
    <row r="8" spans="1:5" x14ac:dyDescent="0.35">
      <c r="A8" s="161">
        <v>0.18</v>
      </c>
      <c r="B8" s="94">
        <v>2.5837859551154283</v>
      </c>
      <c r="C8" s="94"/>
      <c r="D8" s="94"/>
    </row>
    <row r="9" spans="1:5" x14ac:dyDescent="0.35">
      <c r="A9" s="161">
        <v>0.2</v>
      </c>
      <c r="B9" s="94">
        <v>2.8899106010499285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4</v>
      </c>
      <c r="C2" s="105">
        <v>24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4</v>
      </c>
      <c r="B4" s="94">
        <v>2.9685074244422829</v>
      </c>
      <c r="C4" s="106">
        <v>11.808581154786037</v>
      </c>
      <c r="D4" s="106">
        <v>10.013918282125895</v>
      </c>
    </row>
    <row r="5" spans="1:5" x14ac:dyDescent="0.35">
      <c r="A5" s="106">
        <v>8</v>
      </c>
      <c r="B5" s="94">
        <v>2.6347786409853526</v>
      </c>
      <c r="C5" s="94"/>
      <c r="D5" s="94"/>
    </row>
    <row r="6" spans="1:5" x14ac:dyDescent="0.35">
      <c r="A6" s="106">
        <v>12</v>
      </c>
      <c r="B6" s="94">
        <v>2.4185438753447945</v>
      </c>
      <c r="C6" s="94"/>
      <c r="D6" s="94"/>
    </row>
    <row r="7" spans="1:5" x14ac:dyDescent="0.35">
      <c r="A7" s="106">
        <v>16</v>
      </c>
      <c r="B7" s="94">
        <v>2.5363362365176796</v>
      </c>
      <c r="C7" s="94"/>
      <c r="D7" s="94"/>
    </row>
    <row r="8" spans="1:5" x14ac:dyDescent="0.35">
      <c r="A8" s="106">
        <v>20</v>
      </c>
      <c r="B8" s="94">
        <v>3.0502840560827247</v>
      </c>
      <c r="C8" s="94"/>
      <c r="D8" s="94"/>
    </row>
    <row r="9" spans="1:5" x14ac:dyDescent="0.35">
      <c r="A9" s="106">
        <v>24</v>
      </c>
      <c r="B9" s="94">
        <v>3.9194312871650956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B3" sqref="B3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50</v>
      </c>
      <c r="C2" s="105">
        <v>450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50</v>
      </c>
      <c r="B4" s="94">
        <v>2.6573152270977052</v>
      </c>
      <c r="C4" s="106">
        <v>236.19104678069678</v>
      </c>
      <c r="D4" s="106">
        <v>491.45864093394255</v>
      </c>
    </row>
    <row r="5" spans="1:5" x14ac:dyDescent="0.35">
      <c r="A5" s="106">
        <v>130</v>
      </c>
      <c r="B5" s="94">
        <v>2.4137362460534395</v>
      </c>
      <c r="C5" s="94"/>
      <c r="D5" s="94"/>
    </row>
    <row r="6" spans="1:5" x14ac:dyDescent="0.35">
      <c r="A6" s="106">
        <v>210</v>
      </c>
      <c r="B6" s="94">
        <v>2.460716544609137</v>
      </c>
      <c r="C6" s="94"/>
      <c r="D6" s="94"/>
    </row>
    <row r="7" spans="1:5" x14ac:dyDescent="0.35">
      <c r="A7" s="106">
        <v>290</v>
      </c>
      <c r="B7" s="94">
        <v>2.5134944065227862</v>
      </c>
      <c r="C7" s="94"/>
      <c r="D7" s="94"/>
    </row>
    <row r="8" spans="1:5" x14ac:dyDescent="0.35">
      <c r="A8" s="106">
        <v>370</v>
      </c>
      <c r="B8" s="94">
        <v>2.5718262461493921</v>
      </c>
      <c r="C8" s="94"/>
      <c r="D8" s="94"/>
    </row>
    <row r="9" spans="1:5" x14ac:dyDescent="0.35">
      <c r="A9" s="106">
        <v>450</v>
      </c>
      <c r="B9" s="94">
        <v>2.61593879929706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1.9700000000000002E-6</v>
      </c>
      <c r="C2" s="119">
        <v>2.17E-6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1.9700000000000002E-6</v>
      </c>
      <c r="B4" s="94">
        <v>2.9060906223482954</v>
      </c>
      <c r="C4" s="99">
        <v>2.0369620759712045E-6</v>
      </c>
      <c r="D4" s="99">
        <v>7.5560315241126365E-8</v>
      </c>
    </row>
    <row r="5" spans="1:5" x14ac:dyDescent="0.35">
      <c r="A5" s="99">
        <v>2.0100000000000002E-6</v>
      </c>
      <c r="B5" s="94">
        <v>2.6583990420285475</v>
      </c>
      <c r="C5" s="94"/>
      <c r="D5" s="94"/>
    </row>
    <row r="6" spans="1:5" x14ac:dyDescent="0.35">
      <c r="A6" s="99">
        <v>2.0500000000000003E-6</v>
      </c>
      <c r="B6" s="94">
        <v>2.5208265188148054</v>
      </c>
      <c r="C6" s="94"/>
      <c r="D6" s="94"/>
    </row>
    <row r="7" spans="1:5" x14ac:dyDescent="0.35">
      <c r="A7" s="99">
        <v>2.0899999999999999E-6</v>
      </c>
      <c r="B7" s="94">
        <v>2.6231545609759115</v>
      </c>
      <c r="C7" s="94"/>
      <c r="D7" s="94"/>
    </row>
    <row r="8" spans="1:5" x14ac:dyDescent="0.35">
      <c r="A8" s="99">
        <v>2.1299999999999999E-6</v>
      </c>
      <c r="B8" s="94">
        <v>3.5521183511513037</v>
      </c>
      <c r="C8" s="94"/>
      <c r="D8" s="94"/>
    </row>
    <row r="9" spans="1:5" x14ac:dyDescent="0.35">
      <c r="A9" s="99">
        <v>2.17E-6</v>
      </c>
      <c r="B9" s="94">
        <v>5.589902599389351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1.9E-6</v>
      </c>
      <c r="C2" s="119">
        <v>2.0999999999999998E-6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1.9E-6</v>
      </c>
      <c r="B4" s="94">
        <v>3.2423800891692531</v>
      </c>
      <c r="C4" s="99">
        <v>1.9744930647033949E-6</v>
      </c>
      <c r="D4" s="99">
        <v>7.6290509416515042E-8</v>
      </c>
    </row>
    <row r="5" spans="1:5" x14ac:dyDescent="0.35">
      <c r="A5" s="99">
        <v>1.9400000000000001E-6</v>
      </c>
      <c r="B5" s="94">
        <v>2.7184911530172102</v>
      </c>
      <c r="C5" s="94"/>
      <c r="D5" s="94"/>
    </row>
    <row r="6" spans="1:5" x14ac:dyDescent="0.35">
      <c r="A6" s="99">
        <v>1.9800000000000001E-6</v>
      </c>
      <c r="B6" s="94">
        <v>2.4624230317440796</v>
      </c>
      <c r="C6" s="94"/>
      <c r="D6" s="94"/>
    </row>
    <row r="7" spans="1:5" x14ac:dyDescent="0.35">
      <c r="A7" s="99">
        <v>2.0199999999999997E-6</v>
      </c>
      <c r="B7" s="94">
        <v>2.6602190612372647</v>
      </c>
      <c r="C7" s="94"/>
      <c r="D7" s="94"/>
    </row>
    <row r="8" spans="1:5" x14ac:dyDescent="0.35">
      <c r="A8" s="99">
        <v>2.0599999999999998E-6</v>
      </c>
      <c r="B8" s="94">
        <v>3.5121843494127551</v>
      </c>
      <c r="C8" s="94"/>
      <c r="D8" s="94"/>
    </row>
    <row r="9" spans="1:5" x14ac:dyDescent="0.35">
      <c r="A9" s="99">
        <v>2.0999999999999998E-6</v>
      </c>
      <c r="B9" s="94">
        <v>5.1807785531762427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1.7799999999999999E-6</v>
      </c>
      <c r="C2" s="119">
        <v>1.84E-6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1.7799999999999999E-6</v>
      </c>
      <c r="B4" s="94">
        <v>2.539234860530112</v>
      </c>
      <c r="C4" s="99">
        <v>1.8176503290531493E-6</v>
      </c>
      <c r="D4" s="99">
        <v>1.2728842433757291E-7</v>
      </c>
    </row>
    <row r="5" spans="1:5" x14ac:dyDescent="0.35">
      <c r="A5" s="99">
        <v>1.792E-6</v>
      </c>
      <c r="B5" s="94">
        <v>2.4923080762437446</v>
      </c>
      <c r="C5" s="94"/>
      <c r="D5" s="94"/>
    </row>
    <row r="6" spans="1:5" x14ac:dyDescent="0.35">
      <c r="A6" s="99">
        <v>1.804E-6</v>
      </c>
      <c r="B6" s="94">
        <v>2.4632202492809894</v>
      </c>
      <c r="C6" s="94"/>
      <c r="D6" s="94"/>
    </row>
    <row r="7" spans="1:5" x14ac:dyDescent="0.35">
      <c r="A7" s="99">
        <v>1.8159999999999999E-6</v>
      </c>
      <c r="B7" s="94">
        <v>2.4519116652540451</v>
      </c>
      <c r="C7" s="94"/>
      <c r="D7" s="94"/>
    </row>
    <row r="8" spans="1:5" x14ac:dyDescent="0.35">
      <c r="A8" s="99">
        <v>1.8279999999999999E-6</v>
      </c>
      <c r="B8" s="94">
        <v>2.458353381676575</v>
      </c>
      <c r="C8" s="94"/>
      <c r="D8" s="94"/>
    </row>
    <row r="9" spans="1:5" x14ac:dyDescent="0.35">
      <c r="A9" s="99">
        <v>1.84E-6</v>
      </c>
      <c r="B9" s="94">
        <v>2.4825441209745427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7A74C-A820-414F-BB0A-FB36E19CE64D}">
  <sheetPr codeName="Sheet4"/>
  <dimension ref="A1:AY495"/>
  <sheetViews>
    <sheetView workbookViewId="0"/>
  </sheetViews>
  <sheetFormatPr defaultRowHeight="15.5" x14ac:dyDescent="0.35"/>
  <cols>
    <col min="1" max="1" width="4.1640625" bestFit="1" customWidth="1"/>
    <col min="2" max="2" width="14.9140625" style="1" bestFit="1" customWidth="1"/>
    <col min="3" max="3" width="16.9140625" style="1" bestFit="1" customWidth="1"/>
    <col min="4" max="4" width="28.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75" style="1" customWidth="1"/>
    <col min="17" max="17" width="5.5" style="1" customWidth="1"/>
    <col min="18" max="18" width="8.33203125" style="1" customWidth="1"/>
    <col min="19" max="19" width="1.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75" customWidth="1"/>
    <col min="67" max="67" width="8.58203125" customWidth="1"/>
    <col min="68" max="68" width="13" customWidth="1"/>
    <col min="69" max="69" width="3.7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7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75" customWidth="1"/>
    <col min="90" max="90" width="8.58203125" customWidth="1"/>
    <col min="91" max="91" width="13" customWidth="1"/>
    <col min="92" max="92" width="3.7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7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643</v>
      </c>
      <c r="D1" s="86" t="s">
        <v>547</v>
      </c>
      <c r="E1" s="86">
        <v>161694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644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645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646</v>
      </c>
      <c r="E4" s="1" t="s">
        <v>647</v>
      </c>
      <c r="F4" s="1">
        <v>30</v>
      </c>
      <c r="G4" s="117">
        <v>0.57452546296296292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161694</v>
      </c>
      <c r="C8" s="1">
        <v>161423</v>
      </c>
      <c r="D8" s="1">
        <v>1.2243999999999999</v>
      </c>
      <c r="E8" s="1">
        <v>13.3001</v>
      </c>
      <c r="F8" s="1">
        <v>16.700099999999999</v>
      </c>
      <c r="G8" s="1">
        <v>8.0000000000000002E-3</v>
      </c>
      <c r="H8" s="1">
        <v>0.01</v>
      </c>
      <c r="I8" s="1">
        <v>1</v>
      </c>
      <c r="J8" s="1">
        <v>0</v>
      </c>
      <c r="K8" s="1">
        <v>0.98240000000000005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161695</v>
      </c>
      <c r="C9" s="1">
        <v>161424</v>
      </c>
      <c r="D9" s="1">
        <v>1.22343</v>
      </c>
      <c r="E9" s="1">
        <v>10.6861</v>
      </c>
      <c r="F9" s="1">
        <v>14.0861</v>
      </c>
      <c r="G9" s="1">
        <v>9.4999999999999998E-3</v>
      </c>
      <c r="H9" s="1">
        <v>1.2500000000000001E-2</v>
      </c>
      <c r="I9" s="1">
        <v>1</v>
      </c>
      <c r="J9" s="1">
        <v>0</v>
      </c>
      <c r="K9" s="1">
        <v>0.98229999999999995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161696</v>
      </c>
      <c r="C10" s="1">
        <v>161425</v>
      </c>
      <c r="D10" s="1">
        <v>1.22343</v>
      </c>
      <c r="E10" s="1">
        <v>8.0400399999999994</v>
      </c>
      <c r="F10" s="1">
        <v>11.440099999999999</v>
      </c>
      <c r="G10" s="1">
        <v>1.17E-2</v>
      </c>
      <c r="H10" s="1">
        <v>1.66E-2</v>
      </c>
      <c r="I10" s="1">
        <v>4.68</v>
      </c>
      <c r="J10" s="1">
        <v>-7.266</v>
      </c>
      <c r="K10" s="1">
        <v>0.98619999999999997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161697</v>
      </c>
      <c r="C11" s="1">
        <v>161426</v>
      </c>
      <c r="D11" s="1">
        <v>1.22343</v>
      </c>
      <c r="E11" s="1">
        <v>5.3430299999999997</v>
      </c>
      <c r="F11" s="1">
        <v>8.7430400000000006</v>
      </c>
      <c r="G11" s="1">
        <v>1.5299999999999999E-2</v>
      </c>
      <c r="H11" s="1">
        <v>2.5100000000000001E-2</v>
      </c>
      <c r="I11" s="1">
        <v>29.2</v>
      </c>
      <c r="J11" s="1">
        <v>-1.079</v>
      </c>
      <c r="K11" s="1">
        <v>0.97650000000000003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161698</v>
      </c>
      <c r="C12" s="1">
        <v>161427</v>
      </c>
      <c r="D12" s="1">
        <v>1.22343</v>
      </c>
      <c r="E12" s="1">
        <v>2.5500099999999999</v>
      </c>
      <c r="F12" s="1">
        <v>5.9500299999999999</v>
      </c>
      <c r="G12" s="1">
        <v>2.2499999999999999E-2</v>
      </c>
      <c r="H12" s="1">
        <v>5.2600000000000001E-2</v>
      </c>
      <c r="I12" s="1">
        <v>113</v>
      </c>
      <c r="J12" s="1">
        <v>8.0000000000000004E-4</v>
      </c>
      <c r="K12" s="1">
        <v>0.93840000000000001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161699</v>
      </c>
      <c r="C13" s="1">
        <v>161427</v>
      </c>
      <c r="D13" s="1">
        <v>2.3902999999999999</v>
      </c>
      <c r="E13" s="1">
        <v>2.5495399999999999</v>
      </c>
      <c r="F13" s="1">
        <v>5.9504999999999999</v>
      </c>
      <c r="G13" s="1">
        <v>4.3999999999999997E-2</v>
      </c>
      <c r="H13" s="1">
        <v>0.1028</v>
      </c>
      <c r="I13" s="1">
        <v>342</v>
      </c>
      <c r="J13" s="1">
        <v>4.3E-3</v>
      </c>
      <c r="K13" s="1">
        <v>0.82540000000000002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161700</v>
      </c>
      <c r="C14" s="1">
        <v>161427</v>
      </c>
      <c r="D14" s="1">
        <v>4.7105899999999998</v>
      </c>
      <c r="E14" s="1">
        <v>2.5500099999999999</v>
      </c>
      <c r="F14" s="1">
        <v>5.9500299999999999</v>
      </c>
      <c r="G14" s="1">
        <v>8.6699999999999999E-2</v>
      </c>
      <c r="H14" s="1">
        <v>0.20250000000000001</v>
      </c>
      <c r="I14" s="1">
        <v>1400</v>
      </c>
      <c r="J14" s="1">
        <v>1.43E-2</v>
      </c>
      <c r="K14" s="1">
        <v>0.75119999999999998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648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648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161694</v>
      </c>
      <c r="D22" s="1">
        <v>161423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1.1231595398700001</v>
      </c>
      <c r="K22" s="1">
        <v>6003</v>
      </c>
      <c r="L22" s="1">
        <v>64.789375000000007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161695</v>
      </c>
      <c r="D23" s="1">
        <v>161424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1.1231595398700001</v>
      </c>
      <c r="K23" s="1">
        <v>6038</v>
      </c>
      <c r="L23" s="1">
        <v>63.173417000000001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161696</v>
      </c>
      <c r="D24" s="1">
        <v>161425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1.1231595398700001</v>
      </c>
      <c r="K24" s="1">
        <v>6044</v>
      </c>
      <c r="L24" s="1">
        <v>95.691512000000003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161697</v>
      </c>
      <c r="D25" s="1">
        <v>161426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1.1231595398700001</v>
      </c>
      <c r="K25" s="1">
        <v>6030</v>
      </c>
      <c r="L25" s="1">
        <v>82.085999000000001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161698</v>
      </c>
      <c r="D26" s="1">
        <v>161427</v>
      </c>
      <c r="E26" s="1">
        <v>1.2</v>
      </c>
      <c r="F26" s="1">
        <v>2.5499999999999998</v>
      </c>
      <c r="G26" s="1">
        <v>5.95</v>
      </c>
      <c r="H26" s="1">
        <v>2.2200000000000001E-2</v>
      </c>
      <c r="I26" s="1">
        <v>5.1799999999999999E-2</v>
      </c>
      <c r="J26" s="1">
        <v>1.1231595398700001</v>
      </c>
      <c r="K26" s="1">
        <v>18020</v>
      </c>
      <c r="L26" s="1">
        <v>396.61311999999998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161699</v>
      </c>
      <c r="D27" s="1">
        <v>161427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1.1231595398700001</v>
      </c>
      <c r="K27" s="1">
        <v>18009</v>
      </c>
      <c r="L27" s="1">
        <v>1202.986341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161700</v>
      </c>
      <c r="D28" s="1">
        <v>161427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0.20169999999999999</v>
      </c>
      <c r="J28" s="1">
        <v>1.1231595398700001</v>
      </c>
      <c r="K28" s="1">
        <v>36011</v>
      </c>
      <c r="L28" s="1">
        <v>2487.5046400000001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120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197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8.1014360403499994E-3</v>
      </c>
      <c r="B41" s="1">
        <v>1.0836837375999999</v>
      </c>
      <c r="C41" s="1">
        <v>0.130081214443</v>
      </c>
      <c r="D41" s="1">
        <v>5.8633302892800005E-4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8.1824504007600007E-3</v>
      </c>
      <c r="B42" s="1">
        <v>1.3199652632700001</v>
      </c>
      <c r="C42" s="1">
        <v>0.13492230834899999</v>
      </c>
      <c r="D42" s="1">
        <v>5.8819635921700004E-4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8.2642749047700005E-3</v>
      </c>
      <c r="B43" s="1">
        <v>1.0361841772</v>
      </c>
      <c r="C43" s="1">
        <v>0.11141999200699999</v>
      </c>
      <c r="D43" s="1">
        <v>5.9007832281000004E-4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8.3469176538099998E-3</v>
      </c>
      <c r="B44" s="1">
        <v>1.3104065124199999</v>
      </c>
      <c r="C44" s="1">
        <v>0.120362909781</v>
      </c>
      <c r="D44" s="1">
        <v>5.9197910603799996E-4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8.4303868303500003E-3</v>
      </c>
      <c r="B45" s="1">
        <v>1.14509787664</v>
      </c>
      <c r="C45" s="1">
        <v>0.109120844684</v>
      </c>
      <c r="D45" s="1">
        <v>5.9389889709799998E-4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8.5146906986500008E-3</v>
      </c>
      <c r="B46" s="1">
        <v>1.0740249201900001</v>
      </c>
      <c r="C46" s="1">
        <v>0.100912576169</v>
      </c>
      <c r="D46" s="1">
        <v>5.9583788606899996E-4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8.5998376056400008E-3</v>
      </c>
      <c r="B47" s="1">
        <v>1.34969905065</v>
      </c>
      <c r="C47" s="1">
        <v>0.107414275706</v>
      </c>
      <c r="D47" s="1">
        <v>5.9779626492999997E-4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8.6858359817000002E-3</v>
      </c>
      <c r="B48" s="1">
        <v>1.1875477323300001</v>
      </c>
      <c r="C48" s="1">
        <v>9.7245996322700007E-2</v>
      </c>
      <c r="D48" s="1">
        <v>5.9977422757899999E-4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8.7726943415100001E-3</v>
      </c>
      <c r="B49" s="1">
        <v>1.15099712817</v>
      </c>
      <c r="C49" s="1">
        <v>9.2643025366500001E-2</v>
      </c>
      <c r="D49" s="1">
        <v>6.0177196985499999E-4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8.86042128493E-3</v>
      </c>
      <c r="B50" s="1">
        <v>1.02357088478</v>
      </c>
      <c r="C50" s="1">
        <v>8.6543852853600001E-2</v>
      </c>
      <c r="D50" s="1">
        <v>6.0378968955299996E-4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8.9490254977800006E-3</v>
      </c>
      <c r="B51" s="1">
        <v>1.15670584668</v>
      </c>
      <c r="C51" s="1">
        <v>8.7109199556700004E-2</v>
      </c>
      <c r="D51" s="1">
        <v>6.0582758644900001E-4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9.0385157527600006E-3</v>
      </c>
      <c r="B52" s="1">
        <v>1.2484907385299999</v>
      </c>
      <c r="C52" s="1">
        <v>8.7655475607699998E-2</v>
      </c>
      <c r="D52" s="1">
        <v>6.0788586231300004E-4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9.1289009102799995E-3</v>
      </c>
      <c r="B53" s="1">
        <v>1.1566620358599999</v>
      </c>
      <c r="C53" s="1">
        <v>8.0996474022299994E-2</v>
      </c>
      <c r="D53" s="1">
        <v>6.0996472093700004E-4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9.2201899193900001E-3</v>
      </c>
      <c r="B54" s="1">
        <v>1.22732178242</v>
      </c>
      <c r="C54" s="1">
        <v>8.10110733453E-2</v>
      </c>
      <c r="D54" s="1">
        <v>6.1206436814599996E-4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9.3123918185800004E-3</v>
      </c>
      <c r="B55" s="1">
        <v>1.1422741871099999</v>
      </c>
      <c r="C55" s="1">
        <v>7.5577837725399999E-2</v>
      </c>
      <c r="D55" s="1">
        <v>6.1418501182700005E-4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9.4055157367700006E-3</v>
      </c>
      <c r="B56" s="1">
        <v>1.1050650316599999</v>
      </c>
      <c r="C56" s="1">
        <v>7.2029444649199997E-2</v>
      </c>
      <c r="D56" s="1">
        <v>6.1632686194599997E-4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9.4995708941299998E-3</v>
      </c>
      <c r="B57" s="1">
        <v>1.25465660387</v>
      </c>
      <c r="C57" s="1">
        <v>7.4085619493899996E-2</v>
      </c>
      <c r="D57" s="1">
        <v>6.1849013056499997E-4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9.5945666030799997E-3</v>
      </c>
      <c r="B58" s="1">
        <v>1.17951787567</v>
      </c>
      <c r="C58" s="1">
        <v>5.1711456733600003E-2</v>
      </c>
      <c r="D58" s="1">
        <v>6.2067503187099998E-4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9.69051226911E-3</v>
      </c>
      <c r="B59" s="1">
        <v>1.1495411232899999</v>
      </c>
      <c r="C59" s="1">
        <v>4.9057678689600002E-2</v>
      </c>
      <c r="D59" s="1">
        <v>6.2288178218900003E-4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9.7874173918000001E-3</v>
      </c>
      <c r="B60" s="1">
        <v>1.0796119882199999</v>
      </c>
      <c r="C60" s="1">
        <v>4.5663027491500002E-2</v>
      </c>
      <c r="D60" s="1">
        <v>6.2511060001099999E-4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9.8852915657199995E-3</v>
      </c>
      <c r="B61" s="1">
        <v>1.0690120356499999</v>
      </c>
      <c r="C61" s="1">
        <v>4.4141969848599999E-2</v>
      </c>
      <c r="D61" s="1">
        <v>6.2736170601099999E-4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9.9841444813699998E-3</v>
      </c>
      <c r="B62" s="1">
        <v>0.92787113403300003</v>
      </c>
      <c r="C62" s="1">
        <v>3.8840463039800002E-2</v>
      </c>
      <c r="D62" s="1">
        <v>6.2963532307199995E-4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1.0083985926200001E-2</v>
      </c>
      <c r="B63" s="1">
        <v>0.78646637344199999</v>
      </c>
      <c r="C63" s="1">
        <v>5.0346971270399998E-2</v>
      </c>
      <c r="D63" s="1">
        <v>6.3193167630200004E-4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1.01848257854E-2</v>
      </c>
      <c r="B64" s="1">
        <v>0.61857373341499999</v>
      </c>
      <c r="C64" s="1">
        <v>4.3534806964999999E-2</v>
      </c>
      <c r="D64" s="1">
        <v>6.3425099306499996E-4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1.02866740433E-2</v>
      </c>
      <c r="B65" s="1">
        <v>0.41163620738399997</v>
      </c>
      <c r="C65" s="1">
        <v>3.5494655575999998E-2</v>
      </c>
      <c r="D65" s="1">
        <v>6.3659350299599996E-4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1.03895407837E-2</v>
      </c>
      <c r="B66" s="1">
        <v>0.33167603104100002</v>
      </c>
      <c r="C66" s="1">
        <v>3.0939414858499999E-2</v>
      </c>
      <c r="D66" s="1">
        <v>6.3895943802600005E-4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1.04934361916E-2</v>
      </c>
      <c r="B67" s="1">
        <v>0.30075635467700002</v>
      </c>
      <c r="C67" s="1">
        <v>2.7780743730300001E-2</v>
      </c>
      <c r="D67" s="1">
        <v>6.4134903240600002E-4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1.05983705535E-2</v>
      </c>
      <c r="B68" s="1">
        <v>0.33839005334400002</v>
      </c>
      <c r="C68" s="1">
        <v>2.8599535946599999E-2</v>
      </c>
      <c r="D68" s="1">
        <v>6.4376252273E-4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1.0704354259E-2</v>
      </c>
      <c r="B69" s="1">
        <v>0.319934170106</v>
      </c>
      <c r="C69" s="1">
        <v>2.69680546955E-2</v>
      </c>
      <c r="D69" s="1">
        <v>6.46200147958E-4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1.08113978016E-2</v>
      </c>
      <c r="B70" s="1">
        <v>0.341616737389</v>
      </c>
      <c r="C70" s="1">
        <v>2.74353635134E-2</v>
      </c>
      <c r="D70" s="1">
        <v>6.4866214943700004E-4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1.0919511779600001E-2</v>
      </c>
      <c r="B71" s="1">
        <v>0.29891432029199999</v>
      </c>
      <c r="C71" s="1">
        <v>2.49346222099E-2</v>
      </c>
      <c r="D71" s="1">
        <v>6.5114877093200004E-4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1.1028706897400001E-2</v>
      </c>
      <c r="B72" s="1">
        <v>0.305254858377</v>
      </c>
      <c r="C72" s="1">
        <v>2.51440213898E-2</v>
      </c>
      <c r="D72" s="1">
        <v>6.5366025864100003E-4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1.11389939664E-2</v>
      </c>
      <c r="B73" s="1">
        <v>0.27709835979800002</v>
      </c>
      <c r="C73" s="1">
        <v>2.2374222400100001E-2</v>
      </c>
      <c r="D73" s="1">
        <v>6.5619686122700004E-4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1.12503839061E-2</v>
      </c>
      <c r="B74" s="1">
        <v>0.27609548644600002</v>
      </c>
      <c r="C74" s="1">
        <v>2.1727583792800001E-2</v>
      </c>
      <c r="D74" s="1">
        <v>6.5875882983899999E-4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1.1362887745099999E-2</v>
      </c>
      <c r="B75" s="1">
        <v>0.22286791836799999</v>
      </c>
      <c r="C75" s="1">
        <v>1.9370197479400001E-2</v>
      </c>
      <c r="D75" s="1">
        <v>6.6134641813799997E-4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1.14765166226E-2</v>
      </c>
      <c r="B76" s="1">
        <v>0.19773376549999999</v>
      </c>
      <c r="C76" s="1">
        <v>1.7485391626200001E-2</v>
      </c>
      <c r="D76" s="1">
        <v>6.6395988231899997E-4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1.1591281788799999E-2</v>
      </c>
      <c r="B77" s="1">
        <v>0.185816684304</v>
      </c>
      <c r="C77" s="1">
        <v>1.6315443080199998E-2</v>
      </c>
      <c r="D77" s="1">
        <v>6.6659948114199997E-4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1.17071946067E-2</v>
      </c>
      <c r="B78" s="1">
        <v>0.14079816587899999</v>
      </c>
      <c r="C78" s="1">
        <v>1.4301005479299999E-2</v>
      </c>
      <c r="D78" s="1">
        <v>6.69265475954E-4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1.18242665528E-2</v>
      </c>
      <c r="B79" s="1">
        <v>0.129510401276</v>
      </c>
      <c r="C79" s="1">
        <v>8.4843033719299993E-3</v>
      </c>
      <c r="D79" s="1">
        <v>6.7195813071299995E-4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1.19425092183E-2</v>
      </c>
      <c r="B80" s="1">
        <v>0.119742498823</v>
      </c>
      <c r="C80" s="1">
        <v>7.81293904011E-3</v>
      </c>
      <c r="D80" s="1">
        <v>6.7467771202100004E-4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1.2061934310500001E-2</v>
      </c>
      <c r="B81" s="1">
        <v>9.6417092804100005E-2</v>
      </c>
      <c r="C81" s="1">
        <v>6.7515686114500003E-3</v>
      </c>
      <c r="D81" s="1">
        <v>6.7742448914099999E-4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1.2182553653599999E-2</v>
      </c>
      <c r="B82" s="1">
        <v>8.4236497778199998E-2</v>
      </c>
      <c r="C82" s="1">
        <v>6.1018334587800002E-3</v>
      </c>
      <c r="D82" s="1">
        <v>6.8019873403200003E-4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1.2304379190100001E-2</v>
      </c>
      <c r="B83" s="1">
        <v>6.7075289344199998E-2</v>
      </c>
      <c r="C83" s="1">
        <v>5.5239613342599999E-3</v>
      </c>
      <c r="D83" s="1">
        <v>6.8300072137200002E-4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1.2427422981999999E-2</v>
      </c>
      <c r="B84" s="1">
        <v>4.9961032405200001E-2</v>
      </c>
      <c r="C84" s="1">
        <v>5.9155043311300004E-3</v>
      </c>
      <c r="D84" s="1">
        <v>6.8583072858600003E-4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1.25516972118E-2</v>
      </c>
      <c r="B85" s="1">
        <v>4.5635897506900003E-2</v>
      </c>
      <c r="C85" s="1">
        <v>5.2477538796799998E-3</v>
      </c>
      <c r="D85" s="1">
        <v>6.8868903587199996E-4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1.26772141839E-2</v>
      </c>
      <c r="B86" s="1">
        <v>3.8326477793600003E-2</v>
      </c>
      <c r="C86" s="1">
        <v>4.9473266973699996E-3</v>
      </c>
      <c r="D86" s="1">
        <v>6.9157592623100004E-4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1.28039863258E-2</v>
      </c>
      <c r="B87" s="1">
        <v>3.5761641216500002E-2</v>
      </c>
      <c r="C87" s="1">
        <v>4.6338274267199997E-3</v>
      </c>
      <c r="D87" s="1">
        <v>6.9449168549300003E-4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1.2932026189000001E-2</v>
      </c>
      <c r="B88" s="1">
        <v>3.43066514975E-2</v>
      </c>
      <c r="C88" s="1">
        <v>4.1783141867999998E-3</v>
      </c>
      <c r="D88" s="1">
        <v>6.9743660234799999E-4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1.3061346450899999E-2</v>
      </c>
      <c r="B89" s="1">
        <v>3.5184188443600002E-2</v>
      </c>
      <c r="C89" s="1">
        <v>4.3972947228099997E-3</v>
      </c>
      <c r="D89" s="1">
        <v>7.0041096837200004E-4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1.31919599154E-2</v>
      </c>
      <c r="B90" s="1">
        <v>3.6055824469500002E-2</v>
      </c>
      <c r="C90" s="1">
        <v>4.3151044991000002E-3</v>
      </c>
      <c r="D90" s="1">
        <v>7.0341507805499995E-4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1.33238795146E-2</v>
      </c>
      <c r="B91" s="1">
        <v>3.83110256956E-2</v>
      </c>
      <c r="C91" s="1">
        <v>4.2683530751099997E-3</v>
      </c>
      <c r="D91" s="1">
        <v>7.0644922883600001E-4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1.3457118309700001E-2</v>
      </c>
      <c r="B92" s="1">
        <v>3.4754888724400003E-2</v>
      </c>
      <c r="C92" s="1">
        <v>3.7487461911399999E-3</v>
      </c>
      <c r="D92" s="86">
        <v>7.0951372112399997E-4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1.3591689492799999E-2</v>
      </c>
      <c r="B93" s="1">
        <v>3.10094256832E-2</v>
      </c>
      <c r="C93" s="1">
        <v>3.5470668642800002E-3</v>
      </c>
      <c r="D93" s="1">
        <v>7.1260885833499996E-4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1.37276063878E-2</v>
      </c>
      <c r="B94" s="1">
        <v>3.7496385373100002E-2</v>
      </c>
      <c r="C94" s="1">
        <v>3.81494586303E-3</v>
      </c>
      <c r="D94" s="1">
        <v>7.1573494691900001E-4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1.3864882451600001E-2</v>
      </c>
      <c r="B95" s="1">
        <v>3.7212928198799997E-2</v>
      </c>
      <c r="C95" s="1">
        <v>3.6566255048399998E-3</v>
      </c>
      <c r="D95" s="1">
        <v>7.1889229638800003E-4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1.40035312762E-2</v>
      </c>
      <c r="B96" s="1">
        <v>4.3212043975000003E-2</v>
      </c>
      <c r="C96" s="1">
        <v>3.8414311891899998E-3</v>
      </c>
      <c r="D96" s="1">
        <v>7.2208121935199996E-4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1.41435665889E-2</v>
      </c>
      <c r="B97" s="1">
        <v>3.95909160084E-2</v>
      </c>
      <c r="C97" s="1">
        <v>3.5228841639300002E-3</v>
      </c>
      <c r="D97" s="1">
        <v>7.2530203154500005E-4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1.42850022548E-2</v>
      </c>
      <c r="B98" s="1">
        <v>4.3895251336099998E-2</v>
      </c>
      <c r="C98" s="1">
        <v>3.62628665743E-3</v>
      </c>
      <c r="D98" s="1">
        <v>7.2855505186099996E-4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1.44278522774E-2</v>
      </c>
      <c r="B99" s="1">
        <v>4.6149169654600003E-2</v>
      </c>
      <c r="C99" s="1">
        <v>3.5704315379100002E-3</v>
      </c>
      <c r="D99" s="1">
        <v>7.3184060237899997E-4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1.4572130800099999E-2</v>
      </c>
      <c r="B100" s="1">
        <v>3.76750124711E-2</v>
      </c>
      <c r="C100" s="1">
        <v>3.1170722975599999E-3</v>
      </c>
      <c r="D100" s="1">
        <v>7.3515900840299996E-4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1.4717852108099999E-2</v>
      </c>
      <c r="B101" s="1">
        <v>3.5208937662399999E-2</v>
      </c>
      <c r="C101" s="1">
        <v>3.0003786823799999E-3</v>
      </c>
      <c r="D101" s="1">
        <v>7.3851059848700003E-4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1.4865030629200001E-2</v>
      </c>
      <c r="B102" s="1">
        <v>3.94020482645E-2</v>
      </c>
      <c r="C102" s="1">
        <v>3.0291607195899999E-3</v>
      </c>
      <c r="D102" s="1">
        <v>7.4189570447199995E-4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1.50136809355E-2</v>
      </c>
      <c r="B103" s="1">
        <v>4.2094381727200002E-2</v>
      </c>
      <c r="C103" s="1">
        <v>3.05183370968E-3</v>
      </c>
      <c r="D103" s="1">
        <v>7.4531466151699999E-4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1.5163817744900001E-2</v>
      </c>
      <c r="B104" s="1">
        <v>3.0523179791499998E-2</v>
      </c>
      <c r="C104" s="1">
        <v>2.6130415640300002E-3</v>
      </c>
      <c r="D104" s="1">
        <v>7.4876780813200002E-4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1.5315455922300001E-2</v>
      </c>
      <c r="B105" s="1">
        <v>3.4179894438900002E-2</v>
      </c>
      <c r="C105" s="1">
        <v>2.58133047235E-3</v>
      </c>
      <c r="D105" s="1">
        <v>7.5225548621300005E-4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1.54686104815E-2</v>
      </c>
      <c r="B106" s="1">
        <v>3.2637677432400002E-2</v>
      </c>
      <c r="C106" s="1">
        <v>1.94506109367E-3</v>
      </c>
      <c r="D106" s="1">
        <v>7.5577804107499998E-4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1.56232965864E-2</v>
      </c>
      <c r="B107" s="1">
        <v>2.5534725551599999E-2</v>
      </c>
      <c r="C107" s="1">
        <v>1.70237757056E-3</v>
      </c>
      <c r="D107" s="1">
        <v>7.5933582148599997E-4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1.5779529552200001E-2</v>
      </c>
      <c r="B108" s="1">
        <v>2.2651667903000001E-2</v>
      </c>
      <c r="C108" s="1">
        <v>1.5463630318E-3</v>
      </c>
      <c r="D108" s="1">
        <v>7.6292917970100004E-4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1.59373248477E-2</v>
      </c>
      <c r="B109" s="1">
        <v>1.9022305892500001E-2</v>
      </c>
      <c r="C109" s="1">
        <v>1.4101042359300001E-3</v>
      </c>
      <c r="D109" s="1">
        <v>7.6655847149800001E-4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1.6096698096199999E-2</v>
      </c>
      <c r="B110" s="1">
        <v>1.8065014733900001E-2</v>
      </c>
      <c r="C110" s="1">
        <v>1.3014631571E-3</v>
      </c>
      <c r="D110" s="1">
        <v>7.7022405621299998E-4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1.6257665077200001E-2</v>
      </c>
      <c r="B111" s="1">
        <v>1.55894895914E-2</v>
      </c>
      <c r="C111" s="1">
        <v>1.19770402483E-3</v>
      </c>
      <c r="D111" s="1">
        <v>7.7392629677499995E-4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1.6420241727999999E-2</v>
      </c>
      <c r="B112" s="1">
        <v>1.3703098742599999E-2</v>
      </c>
      <c r="C112" s="1">
        <v>1.1277082906000001E-3</v>
      </c>
      <c r="D112" s="1">
        <v>7.7766555974299997E-4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1.6584444145200002E-2</v>
      </c>
      <c r="B113" s="1">
        <v>1.0097142088500001E-2</v>
      </c>
      <c r="C113" s="1">
        <v>1.4259685878300001E-3</v>
      </c>
      <c r="D113" s="1">
        <v>7.8144221533999999E-4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1.67502885867E-2</v>
      </c>
      <c r="B114" s="1">
        <v>1.27508386545E-2</v>
      </c>
      <c r="C114" s="1">
        <v>1.5464483357600001E-3</v>
      </c>
      <c r="D114" s="1">
        <v>7.8525663749399999E-4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1.6917791472599999E-2</v>
      </c>
      <c r="B115" s="1">
        <v>8.4270302320200007E-3</v>
      </c>
      <c r="C115" s="1">
        <v>1.3137272562200001E-3</v>
      </c>
      <c r="D115" s="1">
        <v>7.8910920386899999E-4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1.7086969387300002E-2</v>
      </c>
      <c r="B116" s="1">
        <v>8.1663570874199991E-3</v>
      </c>
      <c r="C116" s="1">
        <v>1.21664918604E-3</v>
      </c>
      <c r="D116" s="1">
        <v>7.9300029590700005E-4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1.7257839081199999E-2</v>
      </c>
      <c r="B117" s="1">
        <v>7.0866884938599996E-3</v>
      </c>
      <c r="C117" s="1">
        <v>1.0929747554499999E-3</v>
      </c>
      <c r="D117" s="1">
        <v>7.9693029886600004E-4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1.7430417472000002E-2</v>
      </c>
      <c r="B118" s="1">
        <v>6.6570969245000004E-3</v>
      </c>
      <c r="C118" s="1">
        <v>1.05613928382E-3</v>
      </c>
      <c r="D118" s="1">
        <v>8.0089960185499996E-4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1.7604721646699999E-2</v>
      </c>
      <c r="B119" s="1">
        <v>8.5905865117799993E-3</v>
      </c>
      <c r="C119" s="1">
        <v>1.1275235274E-3</v>
      </c>
      <c r="D119" s="1">
        <v>8.0490859787399999E-4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1.77807688631E-2</v>
      </c>
      <c r="B120" s="1">
        <v>8.4080086561200001E-3</v>
      </c>
      <c r="C120" s="1">
        <v>1.06986389879E-3</v>
      </c>
      <c r="D120" s="1">
        <v>8.08957683852E-4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1.7958576551799998E-2</v>
      </c>
      <c r="B121" s="1">
        <v>1.03946192504E-2</v>
      </c>
      <c r="C121" s="1">
        <v>1.1740011326200001E-3</v>
      </c>
      <c r="D121" s="1">
        <v>8.1304726069100005E-4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1.8138162317300002E-2</v>
      </c>
      <c r="B122" s="1">
        <v>9.1471462526800003E-3</v>
      </c>
      <c r="C122" s="1">
        <v>1.07940921731E-3</v>
      </c>
      <c r="D122" s="1">
        <v>8.17177733298E-4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1.8319543940500001E-2</v>
      </c>
      <c r="B123" s="1">
        <v>9.2752835307800003E-3</v>
      </c>
      <c r="C123" s="1">
        <v>1.05315726609E-3</v>
      </c>
      <c r="D123" s="1">
        <v>8.2134951063100002E-4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1.8502739379900001E-2</v>
      </c>
      <c r="B124" s="1">
        <v>8.8555750723099992E-3</v>
      </c>
      <c r="C124" s="1">
        <v>9.8267615756499993E-4</v>
      </c>
      <c r="D124" s="1">
        <v>8.2556300573700004E-4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1.8687766773700001E-2</v>
      </c>
      <c r="B125" s="1">
        <v>9.3635468568799996E-3</v>
      </c>
      <c r="C125" s="1">
        <v>9.8333802541900007E-4</v>
      </c>
      <c r="D125" s="1">
        <v>8.2981863579399998E-4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1.8874644441399999E-2</v>
      </c>
      <c r="B126" s="1">
        <v>1.0581773002599999E-2</v>
      </c>
      <c r="C126" s="1">
        <v>1.03932551654E-3</v>
      </c>
      <c r="D126" s="1">
        <v>8.34116822152E-4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1.9063390885799999E-2</v>
      </c>
      <c r="B127" s="1">
        <v>1.1116384852900001E-2</v>
      </c>
      <c r="C127" s="1">
        <v>1.0564672392E-3</v>
      </c>
      <c r="D127" s="1">
        <v>8.3845799037399996E-4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1.9254024794699998E-2</v>
      </c>
      <c r="B128" s="1">
        <v>1.2806432507899999E-2</v>
      </c>
      <c r="C128" s="1">
        <v>1.0934088988100001E-3</v>
      </c>
      <c r="D128" s="1">
        <v>8.4284257027799996E-4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1.9446565042599999E-2</v>
      </c>
      <c r="B129" s="1">
        <v>1.0335430860299999E-2</v>
      </c>
      <c r="C129" s="1">
        <v>9.8142633795200002E-4</v>
      </c>
      <c r="D129" s="1">
        <v>8.4727099597999998E-4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1.9641030693100001E-2</v>
      </c>
      <c r="B130" s="1">
        <v>1.2047072277E-2</v>
      </c>
      <c r="C130" s="1">
        <v>1.0107144551399999E-3</v>
      </c>
      <c r="D130" s="1">
        <v>8.5174370594E-4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1.9837441000000001E-2</v>
      </c>
      <c r="B131" s="1">
        <v>1.12294989205E-2</v>
      </c>
      <c r="C131" s="1">
        <v>9.5808310645799995E-4</v>
      </c>
      <c r="D131" s="1">
        <v>8.5626114299999995E-4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2.0035815410000001E-2</v>
      </c>
      <c r="B132" s="1">
        <v>1.02709686689E-2</v>
      </c>
      <c r="C132" s="1">
        <v>9.1048321652400003E-4</v>
      </c>
      <c r="D132" s="1">
        <v>8.6082375442999995E-4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2.0236173564099999E-2</v>
      </c>
      <c r="B133" s="1">
        <v>7.5921266554299996E-3</v>
      </c>
      <c r="C133" s="1">
        <v>7.6471349245300002E-4</v>
      </c>
      <c r="D133" s="1">
        <v>8.6543199197399996E-4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2.0438535299700002E-2</v>
      </c>
      <c r="B134" s="1">
        <v>7.7314288738600002E-3</v>
      </c>
      <c r="C134" s="1">
        <v>7.6183227161300004E-4</v>
      </c>
      <c r="D134" s="1">
        <v>8.7008631189400005E-4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2.06429206527E-2</v>
      </c>
      <c r="B135" s="1">
        <v>6.73013096863E-3</v>
      </c>
      <c r="C135" s="1">
        <v>6.94103465321E-4</v>
      </c>
      <c r="D135" s="1">
        <v>8.7478717501299999E-4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2.0849349859299999E-2</v>
      </c>
      <c r="B136" s="1">
        <v>5.5814566341000002E-3</v>
      </c>
      <c r="C136" s="1">
        <v>6.2914533812E-4</v>
      </c>
      <c r="D136" s="1">
        <v>8.7953504676300002E-4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2.1057843357800001E-2</v>
      </c>
      <c r="B137" s="1">
        <v>5.0332244648499998E-3</v>
      </c>
      <c r="C137" s="1">
        <v>5.7459438079200003E-4</v>
      </c>
      <c r="D137" s="1">
        <v>8.8433039722999999E-4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2.12684217914E-2</v>
      </c>
      <c r="B138" s="1">
        <v>4.3861282282099999E-3</v>
      </c>
      <c r="C138" s="1">
        <v>5.6188208248699996E-4</v>
      </c>
      <c r="D138" s="1">
        <v>8.8917370120300001E-4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2.1481106009300002E-2</v>
      </c>
      <c r="B139" s="1">
        <v>3.6701557119600001E-3</v>
      </c>
      <c r="C139" s="1">
        <v>4.82156258026E-4</v>
      </c>
      <c r="D139" s="1">
        <v>8.9406543821499997E-4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2.1695917069400002E-2</v>
      </c>
      <c r="B140" s="1">
        <v>4.07925826667E-3</v>
      </c>
      <c r="C140" s="1">
        <v>5.1220391495099998E-4</v>
      </c>
      <c r="D140" s="1">
        <v>8.9900609259699999E-4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2.19128762401E-2</v>
      </c>
      <c r="B141" s="1">
        <v>3.0324915107099999E-3</v>
      </c>
      <c r="C141" s="1">
        <v>4.2694378295800002E-4</v>
      </c>
      <c r="D141" s="1">
        <v>9.0399615352299999E-4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2.21320050025E-2</v>
      </c>
      <c r="B142" s="1">
        <v>2.3815430108599998E-3</v>
      </c>
      <c r="C142" s="1">
        <v>3.8194691830799999E-4</v>
      </c>
      <c r="D142" s="1">
        <v>9.0903611505800002E-4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2.2353325052600001E-2</v>
      </c>
      <c r="B143" s="1">
        <v>1.75376113613E-3</v>
      </c>
      <c r="C143" s="1">
        <v>3.3200359291E-4</v>
      </c>
      <c r="D143" s="1">
        <v>9.1412647620899999E-4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2.2576858303100002E-2</v>
      </c>
      <c r="B144" s="1">
        <v>1.96866509475E-3</v>
      </c>
      <c r="C144" s="1">
        <v>3.4126464959200001E-4</v>
      </c>
      <c r="D144" s="1">
        <v>9.1926774097100003E-4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2.2802626886099998E-2</v>
      </c>
      <c r="B145" s="1">
        <v>2.4410765077900001E-3</v>
      </c>
      <c r="C145" s="1">
        <v>1.6397964225899999E-4</v>
      </c>
      <c r="D145" s="1">
        <v>9.2446041838000002E-4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2.3030653155000001E-2</v>
      </c>
      <c r="B146" s="1">
        <v>2.7448101746599999E-3</v>
      </c>
      <c r="C146" s="1">
        <v>1.65433939924E-4</v>
      </c>
      <c r="D146" s="1">
        <v>9.29705022564E-4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2.32609596865E-2</v>
      </c>
      <c r="B147" s="1">
        <v>2.9992190749100001E-3</v>
      </c>
      <c r="C147" s="1">
        <v>1.7035792256599999E-4</v>
      </c>
      <c r="D147" s="1">
        <v>9.3500207279000004E-4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2.34935692834E-2</v>
      </c>
      <c r="B148" s="1">
        <v>3.2004618293700001E-3</v>
      </c>
      <c r="C148" s="1">
        <v>1.7188268872900001E-4</v>
      </c>
      <c r="D148" s="1">
        <v>9.4035209351799997E-4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2.37285049762E-2</v>
      </c>
      <c r="B149" s="1">
        <v>3.7625005641299999E-3</v>
      </c>
      <c r="C149" s="1">
        <v>1.85776828755E-4</v>
      </c>
      <c r="D149" s="1">
        <v>9.4575561445300004E-4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2.3965790026000001E-2</v>
      </c>
      <c r="B150" s="1">
        <v>4.1434337552099998E-3</v>
      </c>
      <c r="C150" s="1">
        <v>1.91794321285E-4</v>
      </c>
      <c r="D150" s="1">
        <v>9.5121317059800004E-4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2.42054479262E-2</v>
      </c>
      <c r="B151" s="1">
        <v>4.0073558491199998E-3</v>
      </c>
      <c r="C151" s="1">
        <v>1.8079105260200001E-4</v>
      </c>
      <c r="D151" s="1">
        <v>9.5672530230299997E-4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2.4447502405500001E-2</v>
      </c>
      <c r="B152" s="1">
        <v>3.8466630698200002E-3</v>
      </c>
      <c r="C152" s="1">
        <v>1.7505966173400001E-4</v>
      </c>
      <c r="D152" s="1">
        <v>9.62292555327E-4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2.4691977429599998E-2</v>
      </c>
      <c r="B153" s="1">
        <v>3.7299863181500001E-3</v>
      </c>
      <c r="C153" s="1">
        <v>1.6860458517600001E-4</v>
      </c>
      <c r="D153" s="86">
        <v>9.6791548087999996E-4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2.4938897203899999E-2</v>
      </c>
      <c r="B154" s="1">
        <v>3.7183662926900001E-3</v>
      </c>
      <c r="C154" s="1">
        <v>1.8793450187199999E-4</v>
      </c>
      <c r="D154" s="1">
        <v>9.7359463568899996E-4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2.51882861759E-2</v>
      </c>
      <c r="B155" s="1">
        <v>3.3047535189800002E-3</v>
      </c>
      <c r="C155" s="1">
        <v>1.6919943746400001E-4</v>
      </c>
      <c r="D155" s="1">
        <v>9.7933058204499992E-4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2.5440169037600002E-2</v>
      </c>
      <c r="B156" s="1">
        <v>3.0073364500399998E-3</v>
      </c>
      <c r="C156" s="1">
        <v>1.6442104972300001E-4</v>
      </c>
      <c r="D156" s="1">
        <v>9.8512388786599998E-4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2.5694570728E-2</v>
      </c>
      <c r="B157" s="1">
        <v>2.5241271473099998E-3</v>
      </c>
      <c r="C157" s="1">
        <v>1.467705106E-4</v>
      </c>
      <c r="D157" s="1">
        <v>9.9097512674499997E-4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2.5951516435299998E-2</v>
      </c>
      <c r="B158" s="1">
        <v>1.9725988907300001E-3</v>
      </c>
      <c r="C158" s="1">
        <v>1.1934887891100001E-4</v>
      </c>
      <c r="D158" s="1">
        <v>9.9688487801200009E-4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2.6211031599700001E-2</v>
      </c>
      <c r="B159" s="1">
        <v>1.9237535547400001E-3</v>
      </c>
      <c r="C159" s="1">
        <v>1.19480745828E-4</v>
      </c>
      <c r="D159" s="1">
        <v>1.0028537267900001E-3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2.6473141915700001E-2</v>
      </c>
      <c r="B160" s="1">
        <v>1.67104101692E-3</v>
      </c>
      <c r="C160" s="1">
        <v>1.0962716319699999E-4</v>
      </c>
      <c r="D160" s="1">
        <v>1.00888226406E-3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2.6737873334799999E-2</v>
      </c>
      <c r="B161" s="1">
        <v>1.2963176467599999E-3</v>
      </c>
      <c r="C161" s="1">
        <v>9.4280965308200004E-5</v>
      </c>
      <c r="D161" s="1">
        <v>1.0149710867E-3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2.7005252068200002E-2</v>
      </c>
      <c r="B162" s="1">
        <v>1.22355259994E-3</v>
      </c>
      <c r="C162" s="1">
        <v>9.4869461561699996E-5</v>
      </c>
      <c r="D162" s="1">
        <v>1.02112079757E-3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2.7275304588799999E-2</v>
      </c>
      <c r="B163" s="1">
        <v>1.2191544746900001E-3</v>
      </c>
      <c r="C163" s="1">
        <v>9.2652010441899996E-5</v>
      </c>
      <c r="D163" s="1">
        <v>1.02733200554E-3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2.7548057634700002E-2</v>
      </c>
      <c r="B164" s="1">
        <v>9.3550031654700001E-4</v>
      </c>
      <c r="C164" s="1">
        <v>8.1682395880700002E-5</v>
      </c>
      <c r="D164" s="1">
        <v>1.0336053256E-3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2.78235382111E-2</v>
      </c>
      <c r="B165" s="1">
        <v>1.0322057029400001E-3</v>
      </c>
      <c r="C165" s="1">
        <v>8.6975844861600005E-5</v>
      </c>
      <c r="D165" s="1">
        <v>1.0399413788499999E-3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2.81017735932E-2</v>
      </c>
      <c r="B166" s="1">
        <v>1.18626055082E-3</v>
      </c>
      <c r="C166" s="1">
        <v>8.7840542893600002E-5</v>
      </c>
      <c r="D166" s="1">
        <v>1.0463407926400001E-3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2.8382791329100002E-2</v>
      </c>
      <c r="B167" s="1">
        <v>1.2906722469199999E-3</v>
      </c>
      <c r="C167" s="1">
        <v>9.3144302392099995E-5</v>
      </c>
      <c r="D167" s="1">
        <v>1.0528042005699999E-3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2.86666192424E-2</v>
      </c>
      <c r="B168" s="1">
        <v>1.2711371172E-3</v>
      </c>
      <c r="C168" s="1">
        <v>9.4416334075400006E-5</v>
      </c>
      <c r="D168" s="1">
        <v>1.05933224258E-3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2.89532854348E-2</v>
      </c>
      <c r="B169" s="1">
        <v>1.8050391090200001E-3</v>
      </c>
      <c r="C169" s="1">
        <v>1.12266921021E-4</v>
      </c>
      <c r="D169" s="1">
        <v>1.065925565E-3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2.9242818289200001E-2</v>
      </c>
      <c r="B170" s="1">
        <v>1.6294012117099999E-3</v>
      </c>
      <c r="C170" s="1">
        <v>1.03824575486E-4</v>
      </c>
      <c r="D170" s="1">
        <v>1.0725848206499999E-3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2.9535246472099999E-2</v>
      </c>
      <c r="B171" s="1">
        <v>1.3435352893199999E-3</v>
      </c>
      <c r="C171" s="1">
        <v>9.2222361569599997E-5</v>
      </c>
      <c r="D171" s="1">
        <v>1.0793106688599999E-3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2.9830598936799999E-2</v>
      </c>
      <c r="B172" s="1">
        <v>1.5716485761899999E-3</v>
      </c>
      <c r="C172" s="1">
        <v>9.8773055791799997E-5</v>
      </c>
      <c r="D172" s="1">
        <v>1.08610377555E-3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3.01289049262E-2</v>
      </c>
      <c r="B173" s="1">
        <v>1.51765250769E-3</v>
      </c>
      <c r="C173" s="1">
        <v>9.5811249115500006E-5</v>
      </c>
      <c r="D173" s="1">
        <v>1.0929648132999999E-3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3.0430193975400002E-2</v>
      </c>
      <c r="B174" s="1">
        <v>1.4097446582299999E-3</v>
      </c>
      <c r="C174" s="1">
        <v>9.4296605576599994E-5</v>
      </c>
      <c r="D174" s="1">
        <v>1.09989446143E-3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3.07344959152E-2</v>
      </c>
      <c r="B175" s="1">
        <v>1.41379649688E-3</v>
      </c>
      <c r="C175" s="1">
        <v>9.5475933963700001E-5</v>
      </c>
      <c r="D175" s="1">
        <v>1.1068934060499999E-3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3.1041840874300002E-2</v>
      </c>
      <c r="B176" s="1">
        <v>1.0909162494500001E-3</v>
      </c>
      <c r="C176" s="1">
        <v>7.9555732049899994E-5</v>
      </c>
      <c r="D176" s="1">
        <v>1.1139623401100001E-3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3.1352259283100002E-2</v>
      </c>
      <c r="B177" s="1">
        <v>8.62921392023E-4</v>
      </c>
      <c r="C177" s="1">
        <v>7.0441109357499996E-5</v>
      </c>
      <c r="D177" s="1">
        <v>1.1211019635100001E-3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3.1665781875900002E-2</v>
      </c>
      <c r="B178" s="1">
        <v>8.4905121652800004E-4</v>
      </c>
      <c r="C178" s="1">
        <v>7.2056216658400004E-5</v>
      </c>
      <c r="D178" s="1">
        <v>1.12831298315E-3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3.19824396947E-2</v>
      </c>
      <c r="B179" s="1">
        <v>6.6605605543399999E-4</v>
      </c>
      <c r="C179" s="1">
        <v>6.1758015640599995E-5</v>
      </c>
      <c r="D179" s="1">
        <v>1.1355961129799999E-3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3.2302264091600003E-2</v>
      </c>
      <c r="B180" s="1">
        <v>5.3653462925799995E-4</v>
      </c>
      <c r="C180" s="1">
        <v>5.8007573085899999E-5</v>
      </c>
      <c r="D180" s="1">
        <v>1.1429520741100001E-3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3.2625286732500001E-2</v>
      </c>
      <c r="B181" s="1">
        <v>4.3690537940299998E-4</v>
      </c>
      <c r="C181" s="1">
        <v>5.5359163657800002E-5</v>
      </c>
      <c r="D181" s="1">
        <v>1.15038159485E-3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3.29515395999E-2</v>
      </c>
      <c r="B182" s="1">
        <v>7.0722842676800002E-4</v>
      </c>
      <c r="C182" s="1">
        <v>6.9286555216999994E-5</v>
      </c>
      <c r="D182" s="1">
        <v>1.1578854107999999E-3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3.3281054995899999E-2</v>
      </c>
      <c r="B183" s="1">
        <v>6.2932167376800001E-4</v>
      </c>
      <c r="C183" s="1">
        <v>6.3342933690200003E-5</v>
      </c>
      <c r="D183" s="1">
        <v>1.1654642648999999E-3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3.3613865545800002E-2</v>
      </c>
      <c r="B184" s="1">
        <v>6.20062241726E-4</v>
      </c>
      <c r="C184" s="1">
        <v>6.3207822741399999E-5</v>
      </c>
      <c r="D184" s="1">
        <v>1.1731189075499999E-3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3.3950004201300003E-2</v>
      </c>
      <c r="B185" s="1">
        <v>7.1984900631200002E-4</v>
      </c>
      <c r="C185" s="1">
        <v>6.7474690842700007E-5</v>
      </c>
      <c r="D185" s="1">
        <v>1.18085009663E-3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3.4289504243299997E-2</v>
      </c>
      <c r="B186" s="1">
        <v>7.34941976479E-4</v>
      </c>
      <c r="C186" s="1">
        <v>6.7578594414799997E-5</v>
      </c>
      <c r="D186" s="1">
        <v>1.1886585976000001E-3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3.46323992857E-2</v>
      </c>
      <c r="B187" s="1">
        <v>7.2362842979600004E-4</v>
      </c>
      <c r="C187" s="1">
        <v>6.5444991922100005E-5</v>
      </c>
      <c r="D187" s="1">
        <v>1.1965451835699999E-3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3.49787232786E-2</v>
      </c>
      <c r="B188" s="1">
        <v>8.6773343562099997E-4</v>
      </c>
      <c r="C188" s="1">
        <v>7.3812090169200005E-5</v>
      </c>
      <c r="D188" s="1">
        <v>1.20451063541E-3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3.5328510511399999E-2</v>
      </c>
      <c r="B189" s="1">
        <v>6.6190112335699997E-4</v>
      </c>
      <c r="C189" s="1">
        <v>6.5576828321799996E-5</v>
      </c>
      <c r="D189" s="1">
        <v>1.2125557417599999E-3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3.5681795616499999E-2</v>
      </c>
      <c r="B190" s="1">
        <v>6.7057390630900001E-4</v>
      </c>
      <c r="C190" s="1">
        <v>6.0907770547499997E-5</v>
      </c>
      <c r="D190" s="1">
        <v>1.2206812991799999E-3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3.6038613572599999E-2</v>
      </c>
      <c r="B191" s="1">
        <v>5.9608479755700002E-4</v>
      </c>
      <c r="C191" s="1">
        <v>5.7408117894400002E-5</v>
      </c>
      <c r="D191" s="1">
        <v>1.2288881121700001E-3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3.63989997084E-2</v>
      </c>
      <c r="B192" s="1">
        <v>5.8686591094499999E-4</v>
      </c>
      <c r="C192" s="1">
        <v>5.5361760156399998E-5</v>
      </c>
      <c r="D192" s="1">
        <v>1.2371769932899999E-3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3.6762989705399998E-2</v>
      </c>
      <c r="B193" s="1">
        <v>4.9104513886400001E-4</v>
      </c>
      <c r="C193" s="1">
        <v>5.1179783057100003E-5</v>
      </c>
      <c r="D193" s="1">
        <v>1.24554876323E-3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3.7130619602499998E-2</v>
      </c>
      <c r="B194" s="1">
        <v>3.5507880385999999E-4</v>
      </c>
      <c r="C194" s="1">
        <v>4.6482999627699999E-5</v>
      </c>
      <c r="D194" s="1">
        <v>1.2540042508600001E-3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3.7501925798500001E-2</v>
      </c>
      <c r="B195" s="1">
        <v>3.29764196297E-4</v>
      </c>
      <c r="C195" s="1">
        <v>4.2000892869999999E-5</v>
      </c>
      <c r="D195" s="1">
        <v>1.2625442933699999E-3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3.7876945056500001E-2</v>
      </c>
      <c r="B196" s="1">
        <v>3.5966988048000001E-4</v>
      </c>
      <c r="C196" s="1">
        <v>4.3997582000300003E-5</v>
      </c>
      <c r="D196" s="1">
        <v>1.2711697363000001E-3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3.8255714507099997E-2</v>
      </c>
      <c r="B197" s="1">
        <v>3.1345595738599999E-4</v>
      </c>
      <c r="C197" s="1">
        <v>4.1081253548700002E-5</v>
      </c>
      <c r="D197" s="1">
        <v>1.2798814336599999E-3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3.8638271652100001E-2</v>
      </c>
      <c r="B198" s="1">
        <v>3.1440760387199999E-4</v>
      </c>
      <c r="C198" s="1">
        <v>3.8861681132600002E-5</v>
      </c>
      <c r="D198" s="1">
        <v>1.288680248E-3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3.90246543687E-2</v>
      </c>
      <c r="B199" s="1">
        <v>3.6963993103100002E-4</v>
      </c>
      <c r="C199" s="1">
        <v>4.3215973602499997E-5</v>
      </c>
      <c r="D199" s="1">
        <v>1.2975670504800001E-3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3.9414900912399999E-2</v>
      </c>
      <c r="B200" s="1">
        <v>2.76332516386E-4</v>
      </c>
      <c r="C200" s="1">
        <v>4.0511787025700001E-5</v>
      </c>
      <c r="D200" s="1">
        <v>1.30654272098E-3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3.98090499215E-2</v>
      </c>
      <c r="B201" s="1">
        <v>3.4293643067E-4</v>
      </c>
      <c r="C201" s="1">
        <v>4.3153532659300001E-5</v>
      </c>
      <c r="D201" s="1">
        <v>1.31560814819E-3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4.0207140420699998E-2</v>
      </c>
      <c r="B202" s="1">
        <v>3.3719585914999999E-4</v>
      </c>
      <c r="C202" s="1">
        <v>4.17362012939E-5</v>
      </c>
      <c r="D202" s="1">
        <v>1.32476422968E-3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4.0609211824900002E-2</v>
      </c>
      <c r="B203" s="1">
        <v>3.0504600518600002E-4</v>
      </c>
      <c r="C203" s="1">
        <v>3.8160007661099999E-5</v>
      </c>
      <c r="D203" s="1">
        <v>1.3340118719700001E-3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4.1015303943099997E-2</v>
      </c>
      <c r="B204" s="1">
        <v>3.3084344642099998E-4</v>
      </c>
      <c r="C204" s="1">
        <v>4.1815381380899997E-5</v>
      </c>
      <c r="D204" s="1">
        <v>1.3433519906900001E-3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4.1425456982600001E-2</v>
      </c>
      <c r="B205" s="1">
        <v>3.1921771378400001E-4</v>
      </c>
      <c r="C205" s="1">
        <v>3.9798613997099997E-5</v>
      </c>
      <c r="D205" s="1">
        <v>1.3527855106E-3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4.1839711552400002E-2</v>
      </c>
      <c r="B206" s="1">
        <v>2.3924956301899999E-4</v>
      </c>
      <c r="C206" s="1">
        <v>3.4260078953399998E-5</v>
      </c>
      <c r="D206" s="1">
        <v>1.36231336571E-3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4.2258108667900002E-2</v>
      </c>
      <c r="B207" s="1">
        <v>3.06308054044E-4</v>
      </c>
      <c r="C207" s="1">
        <v>4.0392338530700003E-5</v>
      </c>
      <c r="D207" s="1">
        <v>1.37193649936E-3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4.2680689754600001E-2</v>
      </c>
      <c r="B208" s="1">
        <v>1.9352579136500001E-4</v>
      </c>
      <c r="C208" s="1">
        <v>3.0577850757599997E-5</v>
      </c>
      <c r="D208" s="1">
        <v>1.3816558643600001E-3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4.3107496652199997E-2</v>
      </c>
      <c r="B209" s="1">
        <v>1.73018161559E-4</v>
      </c>
      <c r="C209" s="1">
        <v>3.0316051580300001E-5</v>
      </c>
      <c r="D209" s="1">
        <v>1.391472423E-3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4.3538571618699999E-2</v>
      </c>
      <c r="B210" s="1">
        <v>2.1760609732E-4</v>
      </c>
      <c r="C210" s="1">
        <v>3.2899264138600001E-5</v>
      </c>
      <c r="D210" s="1">
        <v>1.4013871472299999E-3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4.3973957334899998E-2</v>
      </c>
      <c r="B211" s="1">
        <v>2.2670124398900001E-4</v>
      </c>
      <c r="C211" s="1">
        <v>3.3866136290599999E-5</v>
      </c>
      <c r="D211" s="1">
        <v>1.4114010186999999E-3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4.4413696908199997E-2</v>
      </c>
      <c r="B212" s="1">
        <v>2.13741670182E-4</v>
      </c>
      <c r="C212" s="1">
        <v>1.42391588011E-5</v>
      </c>
      <c r="D212" s="1">
        <v>1.4215150288899999E-3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4.4857833877300003E-2</v>
      </c>
      <c r="B213" s="1">
        <v>2.23745598661E-4</v>
      </c>
      <c r="C213" s="1">
        <v>1.3898292283199999E-5</v>
      </c>
      <c r="D213" s="1">
        <v>1.43173017918E-3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4.5306412216100003E-2</v>
      </c>
      <c r="B214" s="1">
        <v>2.5852594711300002E-4</v>
      </c>
      <c r="C214" s="1">
        <v>1.51559211882E-5</v>
      </c>
      <c r="D214" s="1">
        <v>1.4420474809700001E-3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4.5759476338200003E-2</v>
      </c>
      <c r="B215" s="1">
        <v>2.39936183826E-4</v>
      </c>
      <c r="C215" s="1">
        <v>1.3910664602700001E-5</v>
      </c>
      <c r="D215" s="1">
        <v>1.4524679557800001E-3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4.6217071101599998E-2</v>
      </c>
      <c r="B216" s="1">
        <v>2.05570239501E-4</v>
      </c>
      <c r="C216" s="1">
        <v>1.3361182142999999E-5</v>
      </c>
      <c r="D216" s="1">
        <v>1.46299263534E-3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4.6679241812599997E-2</v>
      </c>
      <c r="B217" s="1">
        <v>2.04527342415E-4</v>
      </c>
      <c r="C217" s="1">
        <v>1.3009723018500001E-5</v>
      </c>
      <c r="D217" s="1">
        <v>1.47362256169E-3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4.71460342308E-2</v>
      </c>
      <c r="B218" s="1">
        <v>1.5367042768799999E-4</v>
      </c>
      <c r="C218" s="1">
        <v>1.0344468803099999E-5</v>
      </c>
      <c r="D218" s="1">
        <v>1.48435878731E-3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4.7617494573100001E-2</v>
      </c>
      <c r="B219" s="1">
        <v>1.5641136237999999E-4</v>
      </c>
      <c r="C219" s="1">
        <v>1.0454676217400001E-5</v>
      </c>
      <c r="D219" s="1">
        <v>1.4952023751800001E-3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4.8093669518800002E-2</v>
      </c>
      <c r="B220" s="1">
        <v>1.3589408848299999E-4</v>
      </c>
      <c r="C220" s="1">
        <v>9.9320601834300008E-6</v>
      </c>
      <c r="D220" s="1">
        <v>1.5061543989299999E-3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4.8574606213999998E-2</v>
      </c>
      <c r="B221" s="1">
        <v>1.1862923847300001E-4</v>
      </c>
      <c r="C221" s="1">
        <v>9.0568659737600001E-6</v>
      </c>
      <c r="D221" s="1">
        <v>1.51721594292E-3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4.9060352276099999E-2</v>
      </c>
      <c r="B222" s="1">
        <v>1.31453817695E-4</v>
      </c>
      <c r="C222" s="1">
        <v>9.2990557317900006E-6</v>
      </c>
      <c r="D222" s="1">
        <v>1.5283881023500001E-3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4.9550955798900002E-2</v>
      </c>
      <c r="B223" s="1">
        <v>1.3018047362100001E-4</v>
      </c>
      <c r="C223" s="1">
        <v>9.5246501957300004E-6</v>
      </c>
      <c r="D223" s="1">
        <v>1.5396719833700001E-3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5.0046465356900001E-2</v>
      </c>
      <c r="B224" s="1">
        <v>1.46655518088E-4</v>
      </c>
      <c r="C224" s="1">
        <v>9.3663898494800006E-6</v>
      </c>
      <c r="D224" s="1">
        <v>1.5510687032100001E-3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5.0546930010399997E-2</v>
      </c>
      <c r="B225" s="1">
        <v>1.5617673005699999E-4</v>
      </c>
      <c r="C225" s="1">
        <v>9.7561951183599993E-6</v>
      </c>
      <c r="D225" s="1">
        <v>1.56257939024E-3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5.1052399310499999E-2</v>
      </c>
      <c r="B226" s="1">
        <v>1.4526027624000001E-4</v>
      </c>
      <c r="C226" s="1">
        <v>9.2545600906199995E-6</v>
      </c>
      <c r="D226" s="1">
        <v>1.5742051841400001E-3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5.1562923303600003E-2</v>
      </c>
      <c r="B227" s="1">
        <v>1.5174891828300001E-4</v>
      </c>
      <c r="C227" s="1">
        <v>9.3155383085599994E-6</v>
      </c>
      <c r="D227" s="1">
        <v>1.58594723598E-3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5.2078552536699997E-2</v>
      </c>
      <c r="B228" s="1">
        <v>1.2692438137899999E-4</v>
      </c>
      <c r="C228" s="1">
        <v>8.8115565078199994E-6</v>
      </c>
      <c r="D228" s="1">
        <v>1.5978067083399999E-3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5.2599338062100001E-2</v>
      </c>
      <c r="B229" s="1">
        <v>1.10954072588E-4</v>
      </c>
      <c r="C229" s="1">
        <v>8.5438262720300001E-6</v>
      </c>
      <c r="D229" s="1">
        <v>1.6097847754299999E-3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5.31253314427E-2</v>
      </c>
      <c r="B230" s="1">
        <v>9.7728053052600002E-5</v>
      </c>
      <c r="C230" s="1">
        <v>7.9155506217600007E-6</v>
      </c>
      <c r="D230" s="1">
        <v>1.6218826231800001E-3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5.3656584757100001E-2</v>
      </c>
      <c r="B231" s="1">
        <v>8.6979144340799995E-5</v>
      </c>
      <c r="C231" s="1">
        <v>7.3078063846100001E-6</v>
      </c>
      <c r="D231" s="1">
        <v>1.6341014494100001E-3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5.4193150604700001E-2</v>
      </c>
      <c r="B232" s="1">
        <v>1.12767020915E-4</v>
      </c>
      <c r="C232" s="1">
        <v>8.4820298356200004E-6</v>
      </c>
      <c r="D232" s="1">
        <v>1.64644246391E-3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5.4735082110700002E-2</v>
      </c>
      <c r="B233" s="1">
        <v>9.8583811408600006E-5</v>
      </c>
      <c r="C233" s="1">
        <v>7.6865474707699992E-6</v>
      </c>
      <c r="D233" s="1">
        <v>1.65890688855E-3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5.5282432931799998E-2</v>
      </c>
      <c r="B234" s="1">
        <v>1.04522090685E-4</v>
      </c>
      <c r="C234" s="1">
        <v>7.8476167477899996E-6</v>
      </c>
      <c r="D234" s="1">
        <v>1.6714959574299999E-3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5.5835257261100002E-2</v>
      </c>
      <c r="B235" s="1">
        <v>1.08432306363E-4</v>
      </c>
      <c r="C235" s="1">
        <v>8.3838140723599995E-6</v>
      </c>
      <c r="D235" s="1">
        <v>1.6842109170100001E-3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5.6393609833799999E-2</v>
      </c>
      <c r="B236" s="1">
        <v>1.2465946806700001E-4</v>
      </c>
      <c r="C236" s="1">
        <v>8.9395297821800008E-6</v>
      </c>
      <c r="D236" s="1">
        <v>1.69705302618E-3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5.69575459321E-2</v>
      </c>
      <c r="B237" s="1">
        <v>8.3655435048800002E-5</v>
      </c>
      <c r="C237" s="1">
        <v>7.0806466644800003E-6</v>
      </c>
      <c r="D237" s="1">
        <v>1.7100235564399999E-3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5.7527121391400003E-2</v>
      </c>
      <c r="B238" s="1">
        <v>9.2549578002799998E-5</v>
      </c>
      <c r="C238" s="1">
        <v>7.14324834441E-6</v>
      </c>
      <c r="D238" s="1">
        <v>1.7231237920000001E-3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5.81023926053E-2</v>
      </c>
      <c r="B239" s="1">
        <v>7.8221674326299994E-5</v>
      </c>
      <c r="C239" s="1">
        <v>6.6985984412400003E-6</v>
      </c>
      <c r="D239" s="1">
        <v>1.73635502992E-3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5.8683416531400003E-2</v>
      </c>
      <c r="B240" s="1">
        <v>9.4238078909999996E-5</v>
      </c>
      <c r="C240" s="1">
        <v>7.1814386591E-6</v>
      </c>
      <c r="D240" s="1">
        <v>1.74971858022E-3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5.92702506967E-2</v>
      </c>
      <c r="B241" s="1">
        <v>7.0942571902100004E-5</v>
      </c>
      <c r="C241" s="1">
        <v>6.4536167707300001E-6</v>
      </c>
      <c r="D241" s="1">
        <v>1.7632157660200001E-3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5.9862953203699998E-2</v>
      </c>
      <c r="B242" s="1">
        <v>8.3717493941899994E-5</v>
      </c>
      <c r="C242" s="1">
        <v>6.8554344378199998E-6</v>
      </c>
      <c r="D242" s="1">
        <v>1.7768479236799999E-3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6.0461582735700001E-2</v>
      </c>
      <c r="B243" s="1">
        <v>7.0674974990599996E-5</v>
      </c>
      <c r="C243" s="1">
        <v>6.2697165798200003E-6</v>
      </c>
      <c r="D243" s="1">
        <v>1.79061640292E-3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6.1066198563099999E-2</v>
      </c>
      <c r="B244" s="1">
        <v>7.2238719968600006E-5</v>
      </c>
      <c r="C244" s="1">
        <v>6.15333633963E-6</v>
      </c>
      <c r="D244" s="1">
        <v>1.80452256695E-3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6.1676860548700002E-2</v>
      </c>
      <c r="B245" s="1">
        <v>7.1538712033099994E-5</v>
      </c>
      <c r="C245" s="1">
        <v>6.3992050534299998E-6</v>
      </c>
      <c r="D245" s="1">
        <v>1.8185677926199999E-3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6.2293629154200003E-2</v>
      </c>
      <c r="B246" s="1">
        <v>7.2919460861099999E-5</v>
      </c>
      <c r="C246" s="1">
        <v>6.2509321570499997E-6</v>
      </c>
      <c r="D246" s="1">
        <v>1.8327534705499999E-3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6.2916565445699998E-2</v>
      </c>
      <c r="B247" s="1">
        <v>7.0904683667199998E-5</v>
      </c>
      <c r="C247" s="1">
        <v>6.1380458982399998E-6</v>
      </c>
      <c r="D247" s="1">
        <v>1.8470810052500001E-3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6.3545731100199995E-2</v>
      </c>
      <c r="B248" s="1">
        <v>5.7216583665500001E-5</v>
      </c>
      <c r="C248" s="1">
        <v>5.6889167249800001E-6</v>
      </c>
      <c r="D248" s="1">
        <v>1.8615518153E-3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6.4181188411200005E-2</v>
      </c>
      <c r="B249" s="1">
        <v>4.4555234943200002E-5</v>
      </c>
      <c r="C249" s="1">
        <v>5.3004439114300003E-6</v>
      </c>
      <c r="D249" s="1">
        <v>1.87616733346E-3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6.4823000295299998E-2</v>
      </c>
      <c r="B250" s="1">
        <v>6.5151372704400003E-5</v>
      </c>
      <c r="C250" s="1">
        <v>6.4315957969900002E-6</v>
      </c>
      <c r="D250" s="1">
        <v>1.8909290067899999E-3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6.5471230298199998E-2</v>
      </c>
      <c r="B251" s="1">
        <v>5.95176922403E-5</v>
      </c>
      <c r="C251" s="1">
        <v>6.0431050433100001E-6</v>
      </c>
      <c r="D251" s="1">
        <v>1.9058382968600001E-3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6.61259426012E-2</v>
      </c>
      <c r="B252" s="1">
        <v>6.6972772354300004E-5</v>
      </c>
      <c r="C252" s="1">
        <v>6.1645747164799996E-6</v>
      </c>
      <c r="D252" s="1">
        <v>1.9208966798300001E-3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6.6787202027199996E-2</v>
      </c>
      <c r="B253" s="1">
        <v>5.8358803958799998E-5</v>
      </c>
      <c r="C253" s="1">
        <v>5.6826891680199996E-6</v>
      </c>
      <c r="D253" s="1">
        <v>1.93610564663E-3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6.7455074047499994E-2</v>
      </c>
      <c r="B254" s="1">
        <v>6.0253285333499999E-5</v>
      </c>
      <c r="C254" s="1">
        <v>5.5879807734900002E-6</v>
      </c>
      <c r="D254" s="1">
        <v>1.9514667030900001E-3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6.8129624787999998E-2</v>
      </c>
      <c r="B255" s="1">
        <v>6.1984466741200005E-5</v>
      </c>
      <c r="C255" s="1">
        <v>5.9569693223600002E-6</v>
      </c>
      <c r="D255" s="1">
        <v>1.9669813701200002E-3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6.8810921035900002E-2</v>
      </c>
      <c r="B256" s="1">
        <v>6.5137271549200006E-5</v>
      </c>
      <c r="C256" s="1">
        <v>6.07721743264E-6</v>
      </c>
      <c r="D256" s="1">
        <v>1.9826511838199998E-3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6.9499030246199994E-2</v>
      </c>
      <c r="B257" s="1">
        <v>3.6073522585900001E-5</v>
      </c>
      <c r="C257" s="1">
        <v>4.4815925555600004E-6</v>
      </c>
      <c r="D257" s="1">
        <v>1.9984776956599999E-3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7.0194020548699998E-2</v>
      </c>
      <c r="B258" s="1">
        <v>4.9340077062099999E-5</v>
      </c>
      <c r="C258" s="1">
        <v>5.0428864499099996E-6</v>
      </c>
      <c r="D258" s="1">
        <v>2.0144624726199998E-3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7.0895960754200002E-2</v>
      </c>
      <c r="B259" s="1">
        <v>4.4485817195399998E-5</v>
      </c>
      <c r="C259" s="1">
        <v>4.7788483570700004E-6</v>
      </c>
      <c r="D259" s="1">
        <v>2.0306070973499998E-3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7.1604920361700006E-2</v>
      </c>
      <c r="B260" s="1">
        <v>4.5531360821400002E-5</v>
      </c>
      <c r="C260" s="1">
        <v>5.0228739589100001E-6</v>
      </c>
      <c r="D260" s="1">
        <v>2.0469131683199999E-3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7.23209695653E-2</v>
      </c>
      <c r="B261" s="1">
        <v>4.144670003E-5</v>
      </c>
      <c r="C261" s="1">
        <v>4.7056601029399999E-6</v>
      </c>
      <c r="D261" s="1">
        <v>2.0633823E-3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7.3044179261E-2</v>
      </c>
      <c r="B262" s="1">
        <v>4.23172486803E-5</v>
      </c>
      <c r="C262" s="1">
        <v>4.5173312906099998E-6</v>
      </c>
      <c r="D262" s="1">
        <v>2.080016123E-3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7.3774621053599998E-2</v>
      </c>
      <c r="B263" s="1">
        <v>4.2875892957000001E-5</v>
      </c>
      <c r="C263" s="1">
        <v>4.4263335236799998E-6</v>
      </c>
      <c r="D263" s="1">
        <v>2.0968162842299998E-3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7.4512367264100002E-2</v>
      </c>
      <c r="B264" s="1">
        <v>2.9805290178700001E-5</v>
      </c>
      <c r="C264" s="1">
        <v>3.9332695867099996E-6</v>
      </c>
      <c r="D264" s="1">
        <v>2.11378444707E-3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7.5257490936799995E-2</v>
      </c>
      <c r="B265" s="1">
        <v>3.3881226711099997E-5</v>
      </c>
      <c r="C265" s="1">
        <v>4.2299121518599998E-6</v>
      </c>
      <c r="D265" s="1">
        <v>2.1309222915499998E-3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7.6010065846099997E-2</v>
      </c>
      <c r="B266" s="1">
        <v>3.51960275966E-5</v>
      </c>
      <c r="C266" s="1">
        <v>4.1061174150800003E-6</v>
      </c>
      <c r="D266" s="1">
        <v>2.1482315144599998E-3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7.6770166504600001E-2</v>
      </c>
      <c r="B267" s="1">
        <v>3.8515730179799999E-5</v>
      </c>
      <c r="C267" s="1">
        <v>4.3405047216899997E-6</v>
      </c>
      <c r="D267" s="1">
        <v>2.1657138296100002E-3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7.7537868169599997E-2</v>
      </c>
      <c r="B268" s="1">
        <v>4.07780231803E-5</v>
      </c>
      <c r="C268" s="1">
        <v>4.4975597082399999E-6</v>
      </c>
      <c r="D268" s="1">
        <v>2.1833709679000002E-3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7.8313246851300006E-2</v>
      </c>
      <c r="B269" s="1">
        <v>3.7967554040400002E-5</v>
      </c>
      <c r="C269" s="1">
        <v>4.1603771262500003E-6</v>
      </c>
      <c r="D269" s="1">
        <v>2.2012046775799999E-3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7.90963793198E-2</v>
      </c>
      <c r="B270" s="1">
        <v>3.3231826209799999E-5</v>
      </c>
      <c r="C270" s="1">
        <v>3.9670824332099996E-6</v>
      </c>
      <c r="D270" s="1">
        <v>2.2192167243599999E-3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7.9887343112999998E-2</v>
      </c>
      <c r="B271" s="1">
        <v>3.3334484787699997E-5</v>
      </c>
      <c r="C271" s="1">
        <v>3.9834438381700002E-6</v>
      </c>
      <c r="D271" s="1">
        <v>2.2374088916000002E-3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8.0686216544199996E-2</v>
      </c>
      <c r="B272" s="1">
        <v>2.9541023144700001E-5</v>
      </c>
      <c r="C272" s="1">
        <v>3.9070335878099998E-6</v>
      </c>
      <c r="D272" s="1">
        <v>2.2557829805199998E-3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8.14930787096E-2</v>
      </c>
      <c r="B273" s="1">
        <v>2.61489481708E-5</v>
      </c>
      <c r="C273" s="1">
        <v>3.4762733496900001E-6</v>
      </c>
      <c r="D273" s="1">
        <v>2.27434081032E-3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8.2308009496700002E-2</v>
      </c>
      <c r="B274" s="1">
        <v>3.6408765675500001E-5</v>
      </c>
      <c r="C274" s="1">
        <v>4.1767224192599996E-6</v>
      </c>
      <c r="D274" s="1">
        <v>2.2930842184199999E-3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8.31310895917E-2</v>
      </c>
      <c r="B275" s="1">
        <v>3.50075017796E-5</v>
      </c>
      <c r="C275" s="1">
        <v>3.9357565039399998E-6</v>
      </c>
      <c r="D275" s="1">
        <v>2.3120150606099998E-3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8.3962400487599995E-2</v>
      </c>
      <c r="B276" s="1">
        <v>2.4307343828E-5</v>
      </c>
      <c r="C276" s="1">
        <v>3.3417844854199999E-6</v>
      </c>
      <c r="D276" s="1">
        <v>2.3311352112099998E-3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8.4802024492500003E-2</v>
      </c>
      <c r="B277" s="1">
        <v>2.4785507543200001E-5</v>
      </c>
      <c r="C277" s="1">
        <v>3.4449014634399999E-6</v>
      </c>
      <c r="D277" s="1">
        <v>2.3504465633299998E-3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8.5650044737399997E-2</v>
      </c>
      <c r="B278" s="1">
        <v>2.64023568264E-5</v>
      </c>
      <c r="C278" s="1">
        <v>3.4152483378200001E-6</v>
      </c>
      <c r="D278" s="1">
        <v>2.3699510289600001E-3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8.6506545184799999E-2</v>
      </c>
      <c r="B279" s="1">
        <v>2.4374301624000001E-5</v>
      </c>
      <c r="C279" s="1">
        <v>3.3407229957999999E-6</v>
      </c>
      <c r="D279" s="1">
        <v>2.3896505392499998E-3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8.7371610636599997E-2</v>
      </c>
      <c r="B280" s="1">
        <v>2.02920288819E-5</v>
      </c>
      <c r="C280" s="1">
        <v>1.45233397277E-6</v>
      </c>
      <c r="D280" s="1">
        <v>2.4095470446400002E-3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8.8245326742999994E-2</v>
      </c>
      <c r="B281" s="1">
        <v>2.3584037513200001E-5</v>
      </c>
      <c r="C281" s="1">
        <v>1.5142531909899999E-6</v>
      </c>
      <c r="D281" s="1">
        <v>2.4296425150899998E-3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8.9127780010400004E-2</v>
      </c>
      <c r="B282" s="1">
        <v>2.8098705171299999E-5</v>
      </c>
      <c r="C282" s="1">
        <v>1.6457586761600001E-6</v>
      </c>
      <c r="D282" s="1">
        <v>2.44993894024E-3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9.00190578105E-2</v>
      </c>
      <c r="B283" s="1">
        <v>2.6476628516799998E-5</v>
      </c>
      <c r="C283" s="1">
        <v>1.5257253013300001E-6</v>
      </c>
      <c r="D283" s="1">
        <v>2.4704383296399999E-3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9.0919248388599994E-2</v>
      </c>
      <c r="B284" s="1">
        <v>2.61835465786E-5</v>
      </c>
      <c r="C284" s="1">
        <v>1.5545524694900001E-6</v>
      </c>
      <c r="D284" s="1">
        <v>2.49114271294E-3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9.18284408725E-2</v>
      </c>
      <c r="B285" s="1">
        <v>2.3758842014399999E-5</v>
      </c>
      <c r="C285" s="1">
        <v>1.45622265311E-6</v>
      </c>
      <c r="D285" s="1">
        <v>2.51205414007E-3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9.2746725281199996E-2</v>
      </c>
      <c r="B286" s="1">
        <v>2.0638772556400002E-5</v>
      </c>
      <c r="C286" s="1">
        <v>1.2978005891900001E-6</v>
      </c>
      <c r="D286" s="1">
        <v>2.5331746814699998E-3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9.3674192534E-2</v>
      </c>
      <c r="B287" s="1">
        <v>2.03850995467E-5</v>
      </c>
      <c r="C287" s="1">
        <v>1.27663367732E-6</v>
      </c>
      <c r="D287" s="1">
        <v>2.5545064282799998E-3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9.4610934459399998E-2</v>
      </c>
      <c r="B288" s="1">
        <v>2.1670164724999999E-5</v>
      </c>
      <c r="C288" s="1">
        <v>1.3038807169000001E-6</v>
      </c>
      <c r="D288" s="1">
        <v>2.5760514925700002E-3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9.5557043804E-2</v>
      </c>
      <c r="B289" s="1">
        <v>2.0918871645599999E-5</v>
      </c>
      <c r="C289" s="1">
        <v>1.2819905865699999E-6</v>
      </c>
      <c r="D289" s="1">
        <v>2.5978120074900001E-3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9.6512614242E-2</v>
      </c>
      <c r="B290" s="1">
        <v>1.69084021211E-5</v>
      </c>
      <c r="C290" s="1">
        <v>1.10963579374E-6</v>
      </c>
      <c r="D290" s="1">
        <v>2.61979012757E-3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9.7477740384400005E-2</v>
      </c>
      <c r="B291" s="1">
        <v>2.0641901170200001E-5</v>
      </c>
      <c r="C291" s="1">
        <v>1.23856295183E-6</v>
      </c>
      <c r="D291" s="1">
        <v>2.6419880288399999E-3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9.8452517788299998E-2</v>
      </c>
      <c r="B292" s="1">
        <v>1.7488580160299998E-5</v>
      </c>
      <c r="C292" s="1">
        <v>1.08545585904E-6</v>
      </c>
      <c r="D292" s="1">
        <v>2.6644079091300002E-3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9.9437042966199998E-2</v>
      </c>
      <c r="B293" s="1">
        <v>1.82693364482E-5</v>
      </c>
      <c r="C293" s="1">
        <v>1.1471005664100001E-6</v>
      </c>
      <c r="D293" s="1">
        <v>2.68705198822E-3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0.10043141339599999</v>
      </c>
      <c r="B294" s="1">
        <v>1.8121419557299999E-5</v>
      </c>
      <c r="C294" s="1">
        <v>1.0852752103300001E-6</v>
      </c>
      <c r="D294" s="1">
        <v>2.7099225081E-3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0.10143572753000001</v>
      </c>
      <c r="B295" s="1">
        <v>1.7460880558700001E-5</v>
      </c>
      <c r="C295" s="1">
        <v>1.14432467693E-6</v>
      </c>
      <c r="D295" s="1">
        <v>2.73302173319E-3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0.10245008480499999</v>
      </c>
      <c r="B296" s="1">
        <v>1.46448955591E-5</v>
      </c>
      <c r="C296" s="1">
        <v>1.0262510413799999E-6</v>
      </c>
      <c r="D296" s="1">
        <v>2.7563519505200001E-3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0.103474585653</v>
      </c>
      <c r="B297" s="1">
        <v>1.8599997417099999E-5</v>
      </c>
      <c r="C297" s="1">
        <v>1.19040421035E-6</v>
      </c>
      <c r="D297" s="1">
        <v>2.7799154700199999E-3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0.10450933151</v>
      </c>
      <c r="B298" s="1">
        <v>1.6881144869400001E-5</v>
      </c>
      <c r="C298" s="1">
        <v>1.12103859194E-6</v>
      </c>
      <c r="D298" s="1">
        <v>2.8037146247199998E-3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0.10555442482500001</v>
      </c>
      <c r="B299" s="1">
        <v>1.74501108992E-5</v>
      </c>
      <c r="C299" s="1">
        <v>1.08337578446E-6</v>
      </c>
      <c r="D299" s="1">
        <v>2.82775177097E-3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0.10660996907299999</v>
      </c>
      <c r="B300" s="1">
        <v>1.69371581128E-5</v>
      </c>
      <c r="C300" s="1">
        <v>1.1062571993199999E-6</v>
      </c>
      <c r="D300" s="1">
        <v>2.8520292886799999E-3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0.107676068764</v>
      </c>
      <c r="B301" s="1">
        <v>1.6439085436799999E-5</v>
      </c>
      <c r="C301" s="1">
        <v>1.0785000227600001E-6</v>
      </c>
      <c r="D301" s="1">
        <v>2.87654958157E-3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0.108752829451</v>
      </c>
      <c r="B302" s="1">
        <v>1.3780847292400001E-5</v>
      </c>
      <c r="C302" s="1">
        <v>9.6688969580200002E-7</v>
      </c>
      <c r="D302" s="1">
        <v>2.9013150773800002E-3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0.109840357746</v>
      </c>
      <c r="B303" s="1">
        <v>1.39190988314E-5</v>
      </c>
      <c r="C303" s="1">
        <v>1.03185982201E-6</v>
      </c>
      <c r="D303" s="1">
        <v>2.9263282281600002E-3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0.110938761323</v>
      </c>
      <c r="B304" s="1">
        <v>1.4944569725800001E-5</v>
      </c>
      <c r="C304" s="1">
        <v>1.0357330883399999E-6</v>
      </c>
      <c r="D304" s="1">
        <v>2.9515915104400001E-3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0.11204814893700001</v>
      </c>
      <c r="B305" s="1">
        <v>1.2951830827799999E-5</v>
      </c>
      <c r="C305" s="1">
        <v>9.546356812479999E-7</v>
      </c>
      <c r="D305" s="1">
        <v>2.97710742554E-3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0.11316863042600001</v>
      </c>
      <c r="B306" s="1">
        <v>1.29526333059E-5</v>
      </c>
      <c r="C306" s="1">
        <v>9.2635065229500005E-7</v>
      </c>
      <c r="D306" s="1">
        <v>3.0028784998000001E-3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0.11430031673</v>
      </c>
      <c r="B307" s="1">
        <v>1.1757996985599999E-5</v>
      </c>
      <c r="C307" s="1">
        <v>9.0260252390999999E-7</v>
      </c>
      <c r="D307" s="1">
        <v>3.0289072847900001E-3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0.115443319898</v>
      </c>
      <c r="B308" s="1">
        <v>1.20309487091E-5</v>
      </c>
      <c r="C308" s="1">
        <v>8.9155519084900002E-7</v>
      </c>
      <c r="D308" s="1">
        <v>3.0551963576400001E-3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0.116597753096</v>
      </c>
      <c r="B309" s="1">
        <v>1.11079313086E-5</v>
      </c>
      <c r="C309" s="1">
        <v>8.4363816936899998E-7</v>
      </c>
      <c r="D309" s="1">
        <v>3.0817483212199999E-3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0.117763730627</v>
      </c>
      <c r="B310" s="1">
        <v>1.2969301693899999E-5</v>
      </c>
      <c r="C310" s="1">
        <v>9.4127987252999998E-7</v>
      </c>
      <c r="D310" s="1">
        <v>3.1085658044299998E-3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0.11894136793399999</v>
      </c>
      <c r="B311" s="1">
        <v>9.4733937836299992E-6</v>
      </c>
      <c r="C311" s="1">
        <v>8.188986243E-7</v>
      </c>
      <c r="D311" s="1">
        <v>3.1356514624800002E-3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0.120130781613</v>
      </c>
      <c r="B312" s="1">
        <v>9.4492038237399994E-6</v>
      </c>
      <c r="C312" s="1">
        <v>7.7376116823199996E-7</v>
      </c>
      <c r="D312" s="1">
        <v>3.1630079771000001E-3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0.12133208942900001</v>
      </c>
      <c r="B313" s="1">
        <v>9.3624515683099999E-6</v>
      </c>
      <c r="C313" s="1">
        <v>7.8728295087699997E-7</v>
      </c>
      <c r="D313" s="1">
        <v>3.19063805687E-3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0.122545410323</v>
      </c>
      <c r="B314" s="1">
        <v>9.8431811590199993E-6</v>
      </c>
      <c r="C314" s="1">
        <v>7.8462164398200005E-7</v>
      </c>
      <c r="D314" s="1">
        <v>3.2185444374399999E-3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0.123770864427</v>
      </c>
      <c r="B315" s="1">
        <v>9.7330679732500007E-6</v>
      </c>
      <c r="C315" s="1">
        <v>7.8364710958900003E-7</v>
      </c>
      <c r="D315" s="1">
        <v>3.2467298818099999E-3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0.125008573071</v>
      </c>
      <c r="B316" s="1">
        <v>8.3838868832200001E-6</v>
      </c>
      <c r="C316" s="1">
        <v>7.5724922564699995E-7</v>
      </c>
      <c r="D316" s="1">
        <v>3.2751971806300002E-3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0.12625865880199999</v>
      </c>
      <c r="B317" s="1">
        <v>7.62070337956E-6</v>
      </c>
      <c r="C317" s="1">
        <v>7.5019181899199999E-7</v>
      </c>
      <c r="D317" s="1">
        <v>3.3039491524399999E-3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0.12752124539000001</v>
      </c>
      <c r="B318" s="1">
        <v>8.57373214181E-6</v>
      </c>
      <c r="C318" s="1">
        <v>8.1724399289399998E-7</v>
      </c>
      <c r="D318" s="1">
        <v>3.3329886439600002E-3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0.12879645784400001</v>
      </c>
      <c r="B319" s="1">
        <v>8.7231130572800001E-6</v>
      </c>
      <c r="C319" s="1">
        <v>8.1922662556100003E-7</v>
      </c>
      <c r="D319" s="1">
        <v>3.3623185304E-3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0.130084422422</v>
      </c>
      <c r="B320" s="1">
        <v>7.0454797368399999E-6</v>
      </c>
      <c r="C320" s="1">
        <v>6.9642603197999997E-7</v>
      </c>
      <c r="D320" s="1">
        <v>3.3919417157099998E-3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0.131385266646</v>
      </c>
      <c r="B321" s="1">
        <v>7.9966802682300008E-6</v>
      </c>
      <c r="C321" s="1">
        <v>7.3408195839200005E-7</v>
      </c>
      <c r="D321" s="1">
        <v>3.4218611328599999E-3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0.13269911931299999</v>
      </c>
      <c r="B322" s="1">
        <v>6.7919829513399999E-6</v>
      </c>
      <c r="C322" s="1">
        <v>6.7839220567700001E-7</v>
      </c>
      <c r="D322" s="1">
        <v>3.4520797441899998E-3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0.134026110506</v>
      </c>
      <c r="B323" s="1">
        <v>7.6147528220199998E-6</v>
      </c>
      <c r="C323" s="1">
        <v>7.2933512694800001E-7</v>
      </c>
      <c r="D323" s="1">
        <v>3.4826005416300002E-3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0.13536637161100001</v>
      </c>
      <c r="B324" s="1">
        <v>6.3012451782400001E-6</v>
      </c>
      <c r="C324" s="1">
        <v>6.7876580768600004E-7</v>
      </c>
      <c r="D324" s="1">
        <v>3.51342654705E-3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A325">
        <v>0.136720035327</v>
      </c>
      <c r="B325" s="1">
        <v>6.7175587756600004E-6</v>
      </c>
      <c r="C325" s="1">
        <v>6.6114221813499995E-7</v>
      </c>
      <c r="D325" s="1">
        <v>3.5445608125200001E-3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A326">
        <v>0.13808723568</v>
      </c>
      <c r="B326" s="1">
        <v>5.8227314667099997E-6</v>
      </c>
      <c r="C326" s="1">
        <v>6.0209334676199997E-7</v>
      </c>
      <c r="D326" s="1">
        <v>3.5760064206500001E-3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A327">
        <v>0.13946810803699999</v>
      </c>
      <c r="B327" s="1">
        <v>5.7810485555399999E-6</v>
      </c>
      <c r="C327" s="1">
        <v>6.0108322745699999E-7</v>
      </c>
      <c r="D327" s="1">
        <v>3.6077664848500001E-3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A328">
        <v>0.14086278911700001</v>
      </c>
      <c r="B328" s="1">
        <v>6.3079203938700002E-6</v>
      </c>
      <c r="C328" s="1">
        <v>6.1718002956800004E-7</v>
      </c>
      <c r="D328" s="1">
        <v>3.6398441496999999E-3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A329">
        <v>0.14227141700900001</v>
      </c>
      <c r="B329" s="1">
        <v>6.2197351838699996E-6</v>
      </c>
      <c r="C329" s="1">
        <v>6.2812051351300005E-7</v>
      </c>
      <c r="D329" s="1">
        <v>3.6722425912E-3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A330">
        <v>0.14369413117900001</v>
      </c>
      <c r="B330" s="1">
        <v>5.2840606634299997E-6</v>
      </c>
      <c r="C330" s="1">
        <v>5.6872717968000003E-7</v>
      </c>
      <c r="D330" s="1">
        <v>3.7049650171100002E-3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A331">
        <v>0.14513107249099999</v>
      </c>
      <c r="B331" s="1">
        <v>4.4262806119E-6</v>
      </c>
      <c r="C331" s="1">
        <v>5.2015624539499995E-7</v>
      </c>
      <c r="D331" s="1">
        <v>3.7380146672799999E-3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A332">
        <v>0.146582383215</v>
      </c>
      <c r="B332" s="1">
        <v>4.7212167547799998E-6</v>
      </c>
      <c r="C332" s="1">
        <v>5.4671119308900002E-7</v>
      </c>
      <c r="D332" s="1">
        <v>3.7713948139499998E-3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A333">
        <v>0.14804820704800001</v>
      </c>
      <c r="B333" s="1">
        <v>5.4052816687700001E-6</v>
      </c>
      <c r="C333" s="1">
        <v>5.7769984181299995E-7</v>
      </c>
      <c r="D333" s="1">
        <v>3.8051087620899998E-3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A334">
        <v>0.14952868911799999</v>
      </c>
      <c r="B334" s="1">
        <v>5.1464695544900002E-6</v>
      </c>
      <c r="C334" s="1">
        <v>5.3759637059099999E-7</v>
      </c>
      <c r="D334" s="1">
        <v>3.8391598497200001E-3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A335">
        <v>0.151023976009</v>
      </c>
      <c r="B335" s="1">
        <v>4.5425016393299996E-6</v>
      </c>
      <c r="C335" s="1">
        <v>5.4585431330899996E-7</v>
      </c>
      <c r="D335" s="1">
        <v>3.8735514482100002E-3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A336">
        <v>0.152534215769</v>
      </c>
      <c r="B336" s="1">
        <v>4.4769550835199998E-6</v>
      </c>
      <c r="C336" s="1">
        <v>5.4816819856E-7</v>
      </c>
      <c r="D336" s="1">
        <v>3.9082869626900002E-3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35">
      <c r="A337">
        <v>0.15405955792699999</v>
      </c>
      <c r="B337" s="1">
        <v>4.2958618120099998E-6</v>
      </c>
      <c r="C337" s="1">
        <v>5.0893936453400004E-7</v>
      </c>
      <c r="D337" s="1">
        <v>3.9433698323199998E-3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35">
      <c r="A338">
        <v>0.15560015350600001</v>
      </c>
      <c r="B338" s="1">
        <v>2.7886667531399998E-6</v>
      </c>
      <c r="C338" s="1">
        <v>4.3853842591600002E-7</v>
      </c>
      <c r="D338" s="1">
        <v>3.9788035306400002E-3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35">
      <c r="A339">
        <v>0.157156155041</v>
      </c>
      <c r="B339" s="1">
        <v>4.0147293818799999E-6</v>
      </c>
      <c r="C339" s="1">
        <v>5.0973096992800005E-7</v>
      </c>
      <c r="D339" s="1">
        <v>4.0145915659500001E-3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35">
      <c r="A340">
        <v>0.158727716592</v>
      </c>
      <c r="B340" s="1">
        <v>4.45446915687E-6</v>
      </c>
      <c r="C340" s="1">
        <v>5.17321151001E-7</v>
      </c>
      <c r="D340" s="1">
        <v>4.0507374816099997E-3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35">
      <c r="A341">
        <v>0.16031499375800001</v>
      </c>
      <c r="B341" s="1">
        <v>4.1399443870000001E-6</v>
      </c>
      <c r="C341" s="1">
        <v>4.9039418035699999E-7</v>
      </c>
      <c r="D341" s="1">
        <v>4.0872448564300001E-3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35">
      <c r="A342">
        <v>0.16191814369499999</v>
      </c>
      <c r="B342" s="1">
        <v>2.2469373157699999E-6</v>
      </c>
      <c r="C342" s="1">
        <v>4.2561330158200001E-7</v>
      </c>
      <c r="D342" s="1">
        <v>4.1241173049900003E-3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35">
      <c r="A343">
        <v>0.16353732513200001</v>
      </c>
      <c r="B343" s="1">
        <v>2.1600086026500001E-6</v>
      </c>
      <c r="C343" s="1">
        <v>4.0318702338E-7</v>
      </c>
      <c r="D343" s="1">
        <v>4.1613584780400004E-3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35">
      <c r="A344">
        <v>0.16517269838400001</v>
      </c>
      <c r="B344" s="1">
        <v>3.1937634293100001E-6</v>
      </c>
      <c r="C344" s="1">
        <v>4.3403064774699999E-7</v>
      </c>
      <c r="D344" s="1">
        <v>4.1989720628199997E-3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35">
      <c r="A345">
        <v>0.16682442536700001</v>
      </c>
      <c r="B345" s="1">
        <v>2.4376358653000002E-6</v>
      </c>
      <c r="C345" s="1">
        <v>4.1959384992400003E-7</v>
      </c>
      <c r="D345" s="1">
        <v>4.2369617834500002E-3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35">
      <c r="A346">
        <v>0.16849266962100001</v>
      </c>
      <c r="B346" s="1">
        <v>3.5423168506300001E-6</v>
      </c>
      <c r="C346" s="1">
        <v>4.5252453056899999E-7</v>
      </c>
      <c r="D346" s="1">
        <v>4.27533140128E-3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35">
      <c r="A347">
        <v>0.170177596317</v>
      </c>
      <c r="B347" s="1">
        <v>2.7805216238500002E-6</v>
      </c>
      <c r="C347" s="1">
        <v>4.2400582748799998E-7</v>
      </c>
      <c r="D347" s="1">
        <v>4.3140847152999999E-3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35">
      <c r="A348">
        <v>0.17187937228</v>
      </c>
      <c r="B348" s="1">
        <v>2.30409118587E-6</v>
      </c>
      <c r="C348" s="1">
        <v>3.9599358049100002E-7</v>
      </c>
      <c r="D348" s="1">
        <v>4.3532255624500003E-3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35">
      <c r="A349">
        <v>0.17359816600299999</v>
      </c>
      <c r="B349" s="1">
        <v>3.1589499612300002E-6</v>
      </c>
      <c r="C349" s="1">
        <v>4.2629480244300002E-7</v>
      </c>
      <c r="D349" s="1">
        <v>4.3927578180700004E-3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35">
      <c r="A350">
        <v>0.17533414766300001</v>
      </c>
      <c r="B350" s="1">
        <v>2.6492162536800001E-6</v>
      </c>
      <c r="C350" s="1">
        <v>4.1071568601899999E-7</v>
      </c>
      <c r="D350" s="1">
        <v>4.4326853962600001E-3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35">
      <c r="A351">
        <v>0.17708748914</v>
      </c>
      <c r="B351" s="1">
        <v>2.5927203973200001E-6</v>
      </c>
      <c r="C351" s="1">
        <v>4.1632718999500001E-7</v>
      </c>
      <c r="D351" s="1">
        <v>4.4730122502200003E-3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35">
      <c r="A352">
        <v>0.178858364031</v>
      </c>
      <c r="B352" s="1">
        <v>1.9003240711300001E-6</v>
      </c>
      <c r="C352" s="1">
        <v>3.8976580648599999E-7</v>
      </c>
      <c r="D352" s="1">
        <v>4.5137423727200001E-3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5">
      <c r="A353">
        <v>0.18064694767200001</v>
      </c>
      <c r="B353" s="1">
        <v>2.7961623966E-6</v>
      </c>
      <c r="C353" s="1">
        <v>4.30199547252E-7</v>
      </c>
      <c r="D353" s="1">
        <v>4.5548797964500001E-3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5">
      <c r="A354">
        <v>0.18245341714800001</v>
      </c>
      <c r="B354" s="1">
        <v>2.53312378433E-6</v>
      </c>
      <c r="C354" s="1">
        <v>3.8175927545399999E-7</v>
      </c>
      <c r="D354" s="1">
        <v>4.59642859441E-3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5">
      <c r="A355">
        <v>0.18427795131999999</v>
      </c>
      <c r="B355" s="1">
        <v>1.9464807627700002E-6</v>
      </c>
      <c r="C355" s="1">
        <v>3.6996825987500002E-7</v>
      </c>
      <c r="D355" s="1">
        <v>4.63839288036E-3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5">
      <c r="A356">
        <v>0.18612073083299999</v>
      </c>
      <c r="B356" s="1">
        <v>1.48986181915E-6</v>
      </c>
      <c r="C356" s="1">
        <v>3.4026941090700001E-7</v>
      </c>
      <c r="D356" s="1">
        <v>4.6807768091599996E-3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5">
      <c r="A357">
        <v>0.187981938141</v>
      </c>
      <c r="B357" s="1">
        <v>1.9840267813399999E-6</v>
      </c>
      <c r="C357" s="1">
        <v>3.7699435558099997E-7</v>
      </c>
      <c r="D357" s="1">
        <v>4.7235845772499998E-3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5">
      <c r="A358">
        <v>0.189861757523</v>
      </c>
      <c r="B358" s="1">
        <v>1.3897956761300001E-6</v>
      </c>
      <c r="C358" s="1">
        <v>3.6802666308800001E-7</v>
      </c>
      <c r="D358" s="1">
        <v>4.7668204230199998E-3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5">
      <c r="A359">
        <v>0.19176037509800001</v>
      </c>
      <c r="B359" s="1">
        <v>1.02365391461E-6</v>
      </c>
      <c r="C359" s="1">
        <v>3.2198320961499999E-7</v>
      </c>
      <c r="D359" s="1">
        <v>4.8104886272500001E-3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5">
      <c r="A360">
        <v>0.19367797884900001</v>
      </c>
      <c r="B360" s="1">
        <v>7.87146236039E-7</v>
      </c>
      <c r="C360" s="1">
        <v>3.14345858359E-7</v>
      </c>
      <c r="D360" s="1">
        <v>4.8545935135299997E-3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5">
      <c r="A361">
        <v>0.19561475863700001</v>
      </c>
      <c r="B361" s="1">
        <v>1.3677522950800001E-6</v>
      </c>
      <c r="C361" s="1">
        <v>3.5556547133499998E-7</v>
      </c>
      <c r="D361" s="1">
        <v>4.89913944866E-3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5">
      <c r="A362">
        <v>0.197570906224</v>
      </c>
      <c r="B362" s="1">
        <v>1.2609096394600001E-6</v>
      </c>
      <c r="C362" s="1">
        <v>3.34481076384E-7</v>
      </c>
      <c r="D362" s="1">
        <v>4.94413084315E-3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2021-06-28T15:51:58Z</dcterms:modified>
</cp:coreProperties>
</file>