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8_{0BC61F2E-92C4-45F1-A29F-C5535E052D53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80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G27" i="1"/>
  <c r="F26" i="1"/>
  <c r="C26" i="1"/>
  <c r="F25" i="1"/>
  <c r="C25" i="1" l="1"/>
  <c r="X280" i="1" l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D19" i="69"/>
  <c r="B10" i="69"/>
  <c r="C10" i="69"/>
  <c r="X278" i="1"/>
  <c r="Y278" i="1" s="1"/>
  <c r="X279" i="1"/>
  <c r="Y279" i="1" s="1"/>
  <c r="C6" i="1"/>
  <c r="F7" i="1"/>
  <c r="H6" i="1" l="1"/>
  <c r="H14" i="1"/>
  <c r="H16" i="1"/>
  <c r="B19" i="69" l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G5" i="1" s="1"/>
  <c r="C19" i="69" l="1"/>
  <c r="B7" i="69"/>
  <c r="C14" i="69"/>
  <c r="X255" i="1" l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3" i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X244" i="1"/>
  <c r="X245" i="1"/>
  <c r="Y245" i="1" s="1"/>
  <c r="X246" i="1"/>
  <c r="Y246" i="1" s="1"/>
  <c r="X247" i="1"/>
  <c r="Y247" i="1" s="1"/>
  <c r="X248" i="1"/>
  <c r="Y248" i="1" s="1"/>
  <c r="X249" i="1"/>
  <c r="X250" i="1"/>
  <c r="Y250" i="1" s="1"/>
  <c r="X251" i="1"/>
  <c r="Y251" i="1" s="1"/>
  <c r="X252" i="1"/>
  <c r="Y252" i="1" s="1"/>
  <c r="X253" i="1"/>
  <c r="Y253" i="1" s="1"/>
  <c r="X254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249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254" i="1"/>
  <c r="Y162" i="1"/>
  <c r="Y21" i="1"/>
  <c r="Y22" i="1"/>
  <c r="Y196" i="1"/>
  <c r="Y195" i="1"/>
  <c r="Y226" i="1"/>
  <c r="Y17" i="1"/>
  <c r="Y244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779_off_0.0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<sst xmlns="http://schemas.openxmlformats.org/spreadsheetml/2006/main" count="1169" uniqueCount="649">
  <si>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</si>
  <si>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</si>
  <si>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</si>
  <si>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</si>
  <si>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</si>
  <si>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</si>
  <si>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</si>
  <si>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</si>
  <si>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</si>
  <si>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</si>
  <si>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</si>
  <si>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</si>
  <si>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</si>
  <si>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</si>
  <si>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</si>
  <si>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</si>
  <si>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</si>
  <si>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</si>
  <si>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</si>
  <si>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</si>
  <si>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</si>
  <si>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</si>
  <si>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</si>
  <si>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</si>
  <si>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</si>
  <si>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</si>
  <si>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</si>
  <si>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</si>
  <si>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</si>
  <si>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</si>
  <si>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</si>
  <si>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</si>
  <si>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</si>
  <si>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</si>
  <si>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</si>
  <si>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</si>
  <si>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</si>
  <si>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</si>
  <si>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</si>
  <si>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</si>
  <si>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</si>
  <si>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</si>
  <si>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</si>
  <si>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</si>
  <si>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</si>
  <si>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</si>
  <si>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</si>
  <si>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</si>
  <si>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</si>
  <si>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</si>
  <si>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</si>
  <si>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</si>
  <si>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</si>
  <si>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</si>
  <si>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</si>
  <si>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</si>
  <si>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</si>
  <si>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</si>
  <si>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</si>
  <si>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</si>
  <si>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</si>
  <si>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</si>
  <si>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</si>
  <si>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</si>
  <si>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</si>
  <si>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</si>
  <si>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</si>
  <si>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</si>
  <si>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</si>
  <si>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</si>
  <si>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</si>
  <si>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</si>
  <si>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</si>
  <si>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</si>
  <si>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</si>
  <si>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</si>
  <si>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</si>
  <si>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</si>
  <si>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</si>
  <si>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</si>
  <si>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</si>
  <si>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</si>
  <si>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</si>
  <si>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</si>
  <si>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</si>
  <si>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</si>
  <si>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</si>
  <si>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</si>
  <si>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</si>
  <si>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</si>
  <si>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</si>
  <si>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</si>
  <si>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</si>
  <si>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</si>
  <si>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</si>
  <si>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</si>
  <si>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</si>
  <si>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</si>
  <si>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</si>
  <si>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</si>
  <si>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</si>
  <si>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</si>
  <si>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</si>
  <si>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</si>
  <si>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</si>
  <si>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</si>
  <si>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</si>
  <si>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</si>
  <si>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</si>
  <si>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</si>
  <si>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</si>
  <si>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</si>
  <si>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</si>
  <si>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</si>
  <si>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</si>
  <si>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</si>
  <si>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</si>
  <si>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</si>
  <si>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</si>
  <si>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</si>
  <si>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</si>
  <si>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</si>
  <si>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</si>
  <si>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</si>
  <si>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</si>
  <si>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</si>
  <si>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</si>
  <si>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</si>
  <si>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</si>
  <si>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</si>
  <si>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</si>
  <si>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</si>
  <si>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</si>
  <si>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</si>
  <si>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</si>
  <si>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</si>
  <si>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</si>
  <si>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</si>
  <si>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</si>
  <si>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</si>
  <si>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</si>
  <si>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</si>
  <si>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</si>
  <si>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</si>
  <si>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</si>
  <si>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</si>
  <si>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</si>
  <si>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</si>
  <si>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</si>
  <si>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</si>
  <si>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</si>
  <si>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</si>
  <si>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</si>
  <si>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</si>
  <si>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</si>
  <si>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</si>
  <si>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</si>
  <si>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</si>
  <si>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</si>
  <si>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</si>
  <si>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</si>
  <si>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</si>
  <si>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</si>
  <si>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</si>
  <si>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</si>
  <si>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</si>
  <si>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</si>
  <si>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</si>
  <si>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</si>
  <si>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</si>
  <si>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</si>
  <si>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</si>
  <si>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</si>
  <si>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</si>
  <si>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</si>
  <si>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</si>
  <si>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</si>
  <si>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</si>
  <si>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</si>
  <si>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</si>
  <si>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</si>
  <si>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</si>
  <si>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</si>
  <si>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</si>
  <si>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</si>
  <si>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</si>
  <si>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</si>
  <si>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</si>
  <si>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</si>
  <si>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</si>
  <si>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</si>
  <si>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</si>
  <si>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</si>
  <si>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</si>
  <si>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</si>
  <si>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</si>
  <si>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</si>
  <si>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</si>
  <si>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</si>
  <si>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</si>
  <si>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</si>
  <si>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</si>
  <si>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</si>
  <si>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</si>
  <si>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</si>
  <si>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</si>
  <si>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</si>
  <si>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</si>
  <si>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</si>
  <si>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</si>
  <si>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</si>
  <si>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</si>
  <si>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</si>
  <si>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</si>
  <si>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</si>
  <si>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</si>
  <si>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</si>
  <si>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</si>
  <si>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</si>
  <si>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</si>
  <si>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</si>
  <si>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</si>
  <si>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</si>
  <si>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</si>
  <si>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</si>
  <si>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</si>
  <si>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</si>
  <si>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</si>
  <si>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</si>
  <si>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</si>
  <si>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</si>
  <si>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</si>
  <si>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</si>
  <si>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</si>
  <si>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</si>
  <si>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</si>
  <si>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</si>
  <si>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</si>
  <si>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</si>
  <si>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</si>
  <si>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</si>
  <si>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</si>
  <si>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</si>
  <si>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</si>
  <si>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</si>
  <si>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</si>
  <si>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</si>
  <si>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</si>
  <si>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</si>
  <si>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</si>
  <si>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</si>
  <si>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</si>
  <si>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</si>
  <si>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</si>
  <si>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</si>
  <si>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</si>
  <si>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</si>
  <si>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</si>
  <si>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</si>
  <si>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</si>
  <si>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</si>
  <si>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</si>
  <si>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</si>
  <si>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</si>
  <si>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</si>
  <si>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</si>
  <si>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</si>
  <si>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</si>
  <si>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</si>
  <si>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</si>
  <si>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</si>
  <si>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</si>
  <si>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</si>
  <si>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</si>
  <si>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</si>
  <si>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</si>
  <si>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</si>
  <si>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</si>
  <si>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</si>
  <si>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</si>
  <si>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</si>
  <si>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</si>
  <si>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</si>
  <si>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</si>
  <si>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</si>
  <si>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</si>
  <si>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</si>
  <si>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</si>
  <si>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</si>
  <si>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</si>
  <si>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</si>
  <si>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</si>
  <si>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</si>
  <si>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</si>
  <si>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</si>
  <si>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</si>
  <si>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</si>
  <si>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</si>
  <si>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</si>
  <si>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</si>
  <si>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</si>
  <si>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</si>
  <si>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</si>
  <si>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</si>
  <si>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</si>
  <si>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</si>
  <si>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</si>
  <si>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</si>
  <si>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</si>
  <si>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</si>
  <si>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</si>
  <si>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</si>
  <si>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</si>
  <si>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</si>
  <si>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</si>
  <si>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</si>
  <si>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</si>
  <si>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</si>
  <si>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</si>
  <si>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</si>
  <si>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</si>
  <si>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</si>
  <si>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</si>
  <si>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</si>
  <si>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</si>
  <si>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</si>
  <si>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</si>
  <si>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</si>
  <si>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</si>
  <si>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</si>
  <si>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</si>
  <si>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</si>
  <si>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</si>
  <si>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</si>
  <si>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</si>
  <si>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</si>
  <si>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</si>
  <si>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</si>
  <si>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</si>
  <si>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</si>
  <si>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</si>
  <si>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</si>
  <si>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</si>
  <si>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</si>
  <si>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</si>
  <si>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</si>
  <si>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</si>
  <si>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</si>
  <si>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</si>
  <si>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</si>
  <si>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</si>
  <si>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</si>
  <si>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</si>
  <si>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</si>
  <si>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</si>
  <si>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</si>
  <si>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</si>
  <si>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</si>
  <si>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</si>
  <si>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</si>
  <si>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</si>
  <si>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</si>
  <si>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</si>
  <si>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</si>
  <si>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</si>
  <si>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</si>
  <si>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</si>
  <si>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</si>
  <si>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</si>
  <si>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</si>
  <si>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</si>
  <si>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</si>
  <si>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</si>
  <si>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</si>
  <si>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</si>
  <si>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</si>
  <si>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</si>
  <si>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</si>
  <si>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</si>
  <si>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</si>
  <si>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</si>
  <si>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</si>
  <si>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</si>
  <si>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</si>
  <si>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</si>
  <si>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</si>
  <si>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</si>
  <si>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</si>
  <si>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</si>
  <si>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</si>
  <si>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</si>
  <si>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</si>
  <si>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</si>
  <si>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</si>
  <si>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</si>
  <si>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</si>
  <si>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</si>
  <si>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</si>
  <si>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</si>
  <si>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</si>
  <si>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</si>
  <si>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</si>
  <si>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</si>
  <si>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</si>
  <si>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</si>
  <si>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</si>
  <si>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</si>
  <si>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</si>
  <si>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</si>
  <si>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</si>
  <si>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</si>
  <si>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</si>
  <si>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</si>
  <si>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</si>
  <si>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</si>
  <si>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</si>
  <si>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</si>
  <si>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</si>
  <si>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</si>
  <si>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</si>
  <si>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</si>
  <si>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</si>
  <si>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</si>
  <si>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</si>
  <si>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</si>
  <si>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</si>
  <si>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</si>
  <si>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</si>
  <si>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</si>
  <si>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</si>
  <si>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</si>
  <si>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</si>
  <si>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</si>
  <si>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</si>
  <si>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</si>
  <si>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</si>
  <si>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</si>
  <si>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</si>
  <si>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</si>
  <si>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</si>
  <si>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</si>
  <si>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</si>
  <si>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</si>
  <si>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</si>
  <si>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</si>
  <si>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</si>
  <si>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</si>
  <si>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</si>
  <si>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</si>
  <si>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</si>
  <si>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</si>
  <si>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</si>
  <si>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</si>
  <si>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</si>
  <si>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</si>
  <si>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</si>
  <si>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</si>
  <si>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</si>
  <si>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</si>
  <si>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</si>
  <si>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</si>
  <si>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</si>
  <si>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</si>
  <si>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</si>
  <si>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</si>
  <si>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</si>
  <si>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</si>
  <si>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</si>
  <si>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</si>
  <si>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</si>
  <si>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</si>
  <si>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</si>
  <si>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</si>
  <si>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</si>
  <si>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</si>
  <si>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</si>
  <si>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</si>
  <si>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</si>
  <si>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</si>
  <si>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</si>
  <si>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</si>
  <si>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</si>
  <si>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</si>
  <si>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</si>
  <si>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</si>
  <si>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</si>
  <si>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</si>
  <si>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</si>
  <si>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</si>
  <si>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</si>
  <si>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</si>
  <si>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</si>
  <si>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</si>
  <si>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</si>
  <si>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</si>
  <si>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</si>
  <si>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</si>
  <si>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</si>
  <si>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</si>
  <si>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</si>
  <si>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</si>
  <si>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</si>
  <si>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</si>
  <si>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</si>
  <si>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</si>
  <si>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</si>
  <si>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</si>
  <si>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</si>
  <si>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</si>
  <si>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</si>
  <si>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</si>
  <si>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</si>
  <si>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</si>
  <si>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</si>
  <si>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</si>
  <si>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</si>
  <si>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</si>
  <si>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</si>
  <si>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</si>
  <si>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</si>
  <si>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</si>
  <si>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</si>
  <si>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</si>
  <si>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</si>
  <si>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</si>
  <si>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</si>
  <si>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</si>
  <si>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</si>
  <si>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</si>
  <si>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</si>
  <si>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</si>
  <si>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</si>
  <si>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</si>
  <si>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</si>
  <si>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</si>
  <si>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</si>
  <si>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</si>
  <si>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</si>
  <si>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</si>
  <si>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</si>
  <si>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</si>
  <si>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</si>
  <si>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</si>
  <si>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</si>
  <si>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</si>
  <si>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</si>
  <si>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</si>
  <si>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</si>
  <si>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</si>
  <si>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</si>
  <si>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</si>
  <si>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</si>
  <si>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</si>
  <si>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</si>
  <si>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</si>
  <si>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</si>
  <si>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</si>
  <si>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</si>
  <si>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</si>
  <si>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</si>
  <si>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</si>
  <si>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</si>
  <si>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</si>
  <si>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</si>
  <si>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</si>
  <si>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</si>
  <si>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</si>
  <si>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</si>
  <si>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</si>
  <si>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</si>
  <si>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</si>
  <si>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</si>
  <si>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</si>
  <si>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</si>
  <si>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</si>
  <si>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</si>
  <si>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</si>
  <si>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</si>
  <si>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</si>
  <si>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</si>
  <si>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</si>
  <si>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</si>
  <si>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</si>
  <si>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</si>
  <si>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</si>
  <si>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</si>
  <si>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</si>
  <si>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</si>
  <si>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</si>
  <si>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</si>
  <si>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</si>
  <si>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</si>
  <si>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</si>
  <si>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</si>
  <si>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</si>
  <si>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</si>
  <si>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</si>
  <si>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</si>
  <si>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</si>
  <si>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</si>
  <si>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</si>
  <si>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</si>
  <si>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</si>
  <si>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</si>
  <si>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</si>
  <si>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</si>
  <si>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</si>
  <si>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</si>
  <si>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</si>
  <si>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</si>
  <si>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</si>
  <si>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</si>
  <si>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</si>
  <si>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</si>
  <si>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</si>
  <si>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</si>
  <si>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</si>
  <si>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</si>
  <si>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</si>
  <si>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</si>
  <si>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</si>
  <si>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</si>
  <si>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</si>
  <si>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</si>
  <si>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</si>
  <si>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</si>
  <si>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</si>
  <si>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</si>
  <si>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</si>
  <si>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</si>
  <si>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</si>
  <si>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</si>
  <si>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</si>
  <si>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</si>
  <si>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</si>
  <si>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</si>
  <si>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IPTS-23087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</si>
  <si>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</si>
  <si>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</si>
  <si>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</si>
  <si>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</si>
  <si>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</si>
  <si>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Thu</t>
  </si>
  <si>
    <t>Feb</t>
  </si>
  <si>
    <t>11_02_2021</t>
  </si>
  <si>
    <r>
      <t>S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</si>
  <si>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</si>
  <si>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11_p2hma_58h62d_22h110h_10min-174779-1.</t>
  </si>
  <si>
    <t>2019-11-22T03:40:37.044247667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</si>
</sst>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105.17900868353659</c:v>
                </c:pt>
                <c:pt idx="4">
                  <c:v>105.17900868353659</c:v>
                </c:pt>
                <c:pt idx="5">
                  <c:v>109.03551377909828</c:v>
                </c:pt>
                <c:pt idx="6">
                  <c:v>109.03551377909828</c:v>
                </c:pt>
                <c:pt idx="7">
                  <c:v>111.18157755391729</c:v>
                </c:pt>
                <c:pt idx="8">
                  <c:v>111.18157755391729</c:v>
                </c:pt>
                <c:pt idx="9">
                  <c:v>112.75393163085127</c:v>
                </c:pt>
                <c:pt idx="10">
                  <c:v>112.75393163085127</c:v>
                </c:pt>
                <c:pt idx="11">
                  <c:v>114.03349185332858</c:v>
                </c:pt>
                <c:pt idx="12">
                  <c:v>114.03349185332858</c:v>
                </c:pt>
                <c:pt idx="13">
                  <c:v>115.1383992093478</c:v>
                </c:pt>
                <c:pt idx="14">
                  <c:v>115.1383992093478</c:v>
                </c:pt>
                <c:pt idx="15">
                  <c:v>116.13098500114062</c:v>
                </c:pt>
                <c:pt idx="16">
                  <c:v>116.13098500114062</c:v>
                </c:pt>
                <c:pt idx="17">
                  <c:v>117.04912723079788</c:v>
                </c:pt>
                <c:pt idx="18">
                  <c:v>117.04912723079788</c:v>
                </c:pt>
                <c:pt idx="19">
                  <c:v>117.91845976261071</c:v>
                </c:pt>
                <c:pt idx="20">
                  <c:v>117.91845976261071</c:v>
                </c:pt>
                <c:pt idx="21">
                  <c:v>118.75806885018964</c:v>
                </c:pt>
                <c:pt idx="22">
                  <c:v>118.75806885018964</c:v>
                </c:pt>
                <c:pt idx="23">
                  <c:v>119.58357392712828</c:v>
                </c:pt>
                <c:pt idx="24">
                  <c:v>119.58357392712828</c:v>
                </c:pt>
                <c:pt idx="25">
                  <c:v>120.99528528733542</c:v>
                </c:pt>
                <c:pt idx="26">
                  <c:v>120.99528528733542</c:v>
                </c:pt>
                <c:pt idx="27">
                  <c:v>123.81870800774971</c:v>
                </c:pt>
                <c:pt idx="28">
                  <c:v>123.81870800774971</c:v>
                </c:pt>
                <c:pt idx="29">
                  <c:v>126.64213072816399</c:v>
                </c:pt>
                <c:pt idx="30">
                  <c:v>126.64213072816399</c:v>
                </c:pt>
                <c:pt idx="31">
                  <c:v>129.46555344857828</c:v>
                </c:pt>
                <c:pt idx="32">
                  <c:v>129.46555344857828</c:v>
                </c:pt>
                <c:pt idx="33">
                  <c:v>132.28897616899255</c:v>
                </c:pt>
                <c:pt idx="34">
                  <c:v>132.28897616899255</c:v>
                </c:pt>
                <c:pt idx="35">
                  <c:v>135.11239888940682</c:v>
                </c:pt>
                <c:pt idx="36">
                  <c:v>135.11239888940682</c:v>
                </c:pt>
                <c:pt idx="37">
                  <c:v>137.93582160982109</c:v>
                </c:pt>
                <c:pt idx="38">
                  <c:v>137.93582160982109</c:v>
                </c:pt>
                <c:pt idx="39">
                  <c:v>140.75924433023536</c:v>
                </c:pt>
                <c:pt idx="40">
                  <c:v>140.75924433023536</c:v>
                </c:pt>
                <c:pt idx="41">
                  <c:v>143.58266705064963</c:v>
                </c:pt>
                <c:pt idx="42">
                  <c:v>143.58266705064963</c:v>
                </c:pt>
                <c:pt idx="43">
                  <c:v>146.4060897710639</c:v>
                </c:pt>
                <c:pt idx="44">
                  <c:v>146.4060897710639</c:v>
                </c:pt>
                <c:pt idx="45">
                  <c:v>149.22951249147818</c:v>
                </c:pt>
                <c:pt idx="46">
                  <c:v>149.22951249147818</c:v>
                </c:pt>
                <c:pt idx="47">
                  <c:v>152.05293521189245</c:v>
                </c:pt>
                <c:pt idx="48">
                  <c:v>152.05293521189245</c:v>
                </c:pt>
                <c:pt idx="49">
                  <c:v>154.87635793230672</c:v>
                </c:pt>
                <c:pt idx="50">
                  <c:v>154.87635793230672</c:v>
                </c:pt>
                <c:pt idx="51">
                  <c:v>157.69978065272099</c:v>
                </c:pt>
                <c:pt idx="52">
                  <c:v>157.69978065272099</c:v>
                </c:pt>
                <c:pt idx="53">
                  <c:v>160.52320337313526</c:v>
                </c:pt>
                <c:pt idx="54">
                  <c:v>160.52320337313526</c:v>
                </c:pt>
                <c:pt idx="55">
                  <c:v>163.34662609354953</c:v>
                </c:pt>
                <c:pt idx="56">
                  <c:v>163.34662609354953</c:v>
                </c:pt>
                <c:pt idx="57">
                  <c:v>166.1700488139638</c:v>
                </c:pt>
                <c:pt idx="58">
                  <c:v>166.1700488139638</c:v>
                </c:pt>
                <c:pt idx="59">
                  <c:v>168.99347153437807</c:v>
                </c:pt>
                <c:pt idx="60">
                  <c:v>168.99347153437807</c:v>
                </c:pt>
                <c:pt idx="61">
                  <c:v>171.81689425479235</c:v>
                </c:pt>
                <c:pt idx="62">
                  <c:v>171.81689425479235</c:v>
                </c:pt>
                <c:pt idx="63">
                  <c:v>174.64031697520662</c:v>
                </c:pt>
                <c:pt idx="64">
                  <c:v>174.64031697520662</c:v>
                </c:pt>
                <c:pt idx="65">
                  <c:v>177.46373969562089</c:v>
                </c:pt>
                <c:pt idx="66">
                  <c:v>177.46373969562089</c:v>
                </c:pt>
                <c:pt idx="67">
                  <c:v>180.28716241603516</c:v>
                </c:pt>
                <c:pt idx="68">
                  <c:v>180.28716241603516</c:v>
                </c:pt>
                <c:pt idx="69">
                  <c:v>181.69887377624229</c:v>
                </c:pt>
                <c:pt idx="70">
                  <c:v>181.69887377624229</c:v>
                </c:pt>
                <c:pt idx="71">
                  <c:v>185.10690174042634</c:v>
                </c:pt>
                <c:pt idx="72">
                  <c:v>185.10690174042634</c:v>
                </c:pt>
                <c:pt idx="73">
                  <c:v>188.57315692090748</c:v>
                </c:pt>
                <c:pt idx="74">
                  <c:v>188.57315692090748</c:v>
                </c:pt>
                <c:pt idx="75">
                  <c:v>192.16212282960927</c:v>
                </c:pt>
                <c:pt idx="76">
                  <c:v>192.16212282960927</c:v>
                </c:pt>
                <c:pt idx="77">
                  <c:v>195.95259545198763</c:v>
                </c:pt>
                <c:pt idx="78">
                  <c:v>195.95259545198763</c:v>
                </c:pt>
                <c:pt idx="79">
                  <c:v>200.05040203099324</c:v>
                </c:pt>
                <c:pt idx="80">
                  <c:v>200.05040203099324</c:v>
                </c:pt>
                <c:pt idx="81">
                  <c:v>204.61191869799012</c:v>
                </c:pt>
                <c:pt idx="82">
                  <c:v>204.61191869799012</c:v>
                </c:pt>
                <c:pt idx="83">
                  <c:v>209.89447496794313</c:v>
                </c:pt>
                <c:pt idx="84">
                  <c:v>209.89447496794313</c:v>
                </c:pt>
                <c:pt idx="85">
                  <c:v>216.3858059282106</c:v>
                </c:pt>
                <c:pt idx="86">
                  <c:v>216.3858059282106</c:v>
                </c:pt>
                <c:pt idx="87">
                  <c:v>225.24564890413603</c:v>
                </c:pt>
                <c:pt idx="88">
                  <c:v>225.24564890413603</c:v>
                </c:pt>
                <c:pt idx="89">
                  <c:v>241.16690435956363</c:v>
                </c:pt>
                <c:pt idx="90">
                  <c:v>241.16690435956363</c:v>
                </c:pt>
                <c:pt idx="91">
                  <c:v>262.54800414116636</c:v>
                </c:pt>
                <c:pt idx="92">
                  <c:v>262.54800414116636</c:v>
                </c:pt>
                <c:pt idx="93">
                  <c:v>1182.1780882944586</c:v>
                </c:pt>
                <c:pt idx="94">
                  <c:v>1182.1780882944586</c:v>
                </c:pt>
                <c:pt idx="95">
                  <c:v>1185.6202514706067</c:v>
                </c:pt>
                <c:pt idx="96">
                  <c:v>1185.6202514706067</c:v>
                </c:pt>
                <c:pt idx="97">
                  <c:v>1188.1834292213546</c:v>
                </c:pt>
                <c:pt idx="98">
                  <c:v>1188.1834292213546</c:v>
                </c:pt>
                <c:pt idx="99">
                  <c:v>1189.6097835974015</c:v>
                </c:pt>
                <c:pt idx="100">
                  <c:v>1189.6097835974015</c:v>
                </c:pt>
                <c:pt idx="101">
                  <c:v>1190.6548290171347</c:v>
                </c:pt>
                <c:pt idx="102">
                  <c:v>1190.6548290171347</c:v>
                </c:pt>
                <c:pt idx="103">
                  <c:v>1191.5052726731719</c:v>
                </c:pt>
                <c:pt idx="104">
                  <c:v>1191.5052726731719</c:v>
                </c:pt>
                <c:pt idx="105">
                  <c:v>1192.2396354916848</c:v>
                </c:pt>
                <c:pt idx="106">
                  <c:v>1192.2396354916848</c:v>
                </c:pt>
                <c:pt idx="107">
                  <c:v>1192.8993451910599</c:v>
                </c:pt>
                <c:pt idx="108">
                  <c:v>1192.8993451910599</c:v>
                </c:pt>
                <c:pt idx="109">
                  <c:v>1193.5095769103925</c:v>
                </c:pt>
                <c:pt idx="110">
                  <c:v>1193.5095769103925</c:v>
                </c:pt>
                <c:pt idx="111">
                  <c:v>1194.087367876132</c:v>
                </c:pt>
                <c:pt idx="112">
                  <c:v>1194.087367876132</c:v>
                </c:pt>
                <c:pt idx="113">
                  <c:v>1194.6454035273969</c:v>
                </c:pt>
                <c:pt idx="114">
                  <c:v>1194.6454035273969</c:v>
                </c:pt>
                <c:pt idx="115">
                  <c:v>1195.1940651248556</c:v>
                </c:pt>
                <c:pt idx="116">
                  <c:v>1195.1940651248556</c:v>
                </c:pt>
                <c:pt idx="117">
                  <c:v>1195.4213378521283</c:v>
                </c:pt>
                <c:pt idx="118">
                  <c:v>1195.4213378521283</c:v>
                </c:pt>
                <c:pt idx="119">
                  <c:v>1195.8758833066738</c:v>
                </c:pt>
                <c:pt idx="120">
                  <c:v>1195.8758833066738</c:v>
                </c:pt>
                <c:pt idx="121">
                  <c:v>1196.3304287612193</c:v>
                </c:pt>
                <c:pt idx="122">
                  <c:v>1196.3304287612193</c:v>
                </c:pt>
                <c:pt idx="123">
                  <c:v>1196.7849742157648</c:v>
                </c:pt>
                <c:pt idx="124">
                  <c:v>1196.7849742157648</c:v>
                </c:pt>
                <c:pt idx="125">
                  <c:v>1197.2395196703103</c:v>
                </c:pt>
                <c:pt idx="126">
                  <c:v>1197.2395196703103</c:v>
                </c:pt>
                <c:pt idx="127">
                  <c:v>1197.6940651248558</c:v>
                </c:pt>
                <c:pt idx="128">
                  <c:v>1197.6940651248558</c:v>
                </c:pt>
                <c:pt idx="129">
                  <c:v>1198.1486105794013</c:v>
                </c:pt>
                <c:pt idx="130">
                  <c:v>1198.1486105794013</c:v>
                </c:pt>
                <c:pt idx="131">
                  <c:v>1198.6031560339468</c:v>
                </c:pt>
                <c:pt idx="132">
                  <c:v>1198.6031560339468</c:v>
                </c:pt>
                <c:pt idx="133">
                  <c:v>1199.0577014884923</c:v>
                </c:pt>
                <c:pt idx="134">
                  <c:v>1199.0577014884923</c:v>
                </c:pt>
                <c:pt idx="135">
                  <c:v>1199.5122469430378</c:v>
                </c:pt>
                <c:pt idx="136">
                  <c:v>1199.5122469430378</c:v>
                </c:pt>
                <c:pt idx="137">
                  <c:v>1199.9667923975833</c:v>
                </c:pt>
                <c:pt idx="138">
                  <c:v>1199.9667923975833</c:v>
                </c:pt>
                <c:pt idx="139">
                  <c:v>1200.4213378521288</c:v>
                </c:pt>
                <c:pt idx="140">
                  <c:v>1200.4213378521288</c:v>
                </c:pt>
                <c:pt idx="141">
                  <c:v>1200.8758833066743</c:v>
                </c:pt>
                <c:pt idx="142">
                  <c:v>1200.8758833066743</c:v>
                </c:pt>
                <c:pt idx="143">
                  <c:v>1201.3304287612198</c:v>
                </c:pt>
                <c:pt idx="144">
                  <c:v>1201.3304287612198</c:v>
                </c:pt>
                <c:pt idx="145">
                  <c:v>1201.7849742157653</c:v>
                </c:pt>
                <c:pt idx="146">
                  <c:v>1201.7849742157653</c:v>
                </c:pt>
                <c:pt idx="147">
                  <c:v>1202.2395196703108</c:v>
                </c:pt>
                <c:pt idx="148">
                  <c:v>1202.2395196703108</c:v>
                </c:pt>
                <c:pt idx="149">
                  <c:v>1202.6940651248563</c:v>
                </c:pt>
                <c:pt idx="150">
                  <c:v>1202.6940651248563</c:v>
                </c:pt>
                <c:pt idx="151">
                  <c:v>1203.1486105794017</c:v>
                </c:pt>
                <c:pt idx="152">
                  <c:v>1203.1486105794017</c:v>
                </c:pt>
                <c:pt idx="153">
                  <c:v>1203.6031560339472</c:v>
                </c:pt>
                <c:pt idx="154">
                  <c:v>1203.6031560339472</c:v>
                </c:pt>
                <c:pt idx="155">
                  <c:v>1204.0577014884927</c:v>
                </c:pt>
                <c:pt idx="156">
                  <c:v>1204.0577014884927</c:v>
                </c:pt>
                <c:pt idx="157">
                  <c:v>1204.5122469430382</c:v>
                </c:pt>
                <c:pt idx="158">
                  <c:v>1204.5122469430382</c:v>
                </c:pt>
                <c:pt idx="159">
                  <c:v>1204.9667923975837</c:v>
                </c:pt>
                <c:pt idx="160">
                  <c:v>1204.9667923975837</c:v>
                </c:pt>
                <c:pt idx="161">
                  <c:v>1205.1940651248565</c:v>
                </c:pt>
                <c:pt idx="162">
                  <c:v>1205.1940651248565</c:v>
                </c:pt>
                <c:pt idx="163">
                  <c:v>1205.4683959235858</c:v>
                </c:pt>
                <c:pt idx="164">
                  <c:v>1205.4683959235858</c:v>
                </c:pt>
                <c:pt idx="165">
                  <c:v>1205.7474137492181</c:v>
                </c:pt>
                <c:pt idx="166">
                  <c:v>1205.7474137492181</c:v>
                </c:pt>
                <c:pt idx="167">
                  <c:v>1206.0363092320879</c:v>
                </c:pt>
                <c:pt idx="168">
                  <c:v>1206.0363092320879</c:v>
                </c:pt>
                <c:pt idx="169">
                  <c:v>1206.3414250917542</c:v>
                </c:pt>
                <c:pt idx="170">
                  <c:v>1206.3414250917542</c:v>
                </c:pt>
                <c:pt idx="171">
                  <c:v>1206.6712799414418</c:v>
                </c:pt>
                <c:pt idx="172">
                  <c:v>1206.6712799414418</c:v>
                </c:pt>
                <c:pt idx="173">
                  <c:v>1207.0384613506983</c:v>
                </c:pt>
                <c:pt idx="174">
                  <c:v>1207.0384613506983</c:v>
                </c:pt>
                <c:pt idx="175">
                  <c:v>1207.463683178717</c:v>
                </c:pt>
                <c:pt idx="176">
                  <c:v>1207.463683178717</c:v>
                </c:pt>
                <c:pt idx="177">
                  <c:v>1207.9862058885838</c:v>
                </c:pt>
                <c:pt idx="178">
                  <c:v>1207.9862058885838</c:v>
                </c:pt>
                <c:pt idx="179">
                  <c:v>1208.6993830766073</c:v>
                </c:pt>
                <c:pt idx="180">
                  <c:v>1208.6993830766073</c:v>
                </c:pt>
                <c:pt idx="181">
                  <c:v>1209.9809719519812</c:v>
                </c:pt>
                <c:pt idx="182">
                  <c:v>1209.9809719519812</c:v>
                </c:pt>
                <c:pt idx="183">
                  <c:v>1211.7020535400554</c:v>
                </c:pt>
                <c:pt idx="184">
                  <c:v>1211.7020535400554</c:v>
                </c:pt>
                <c:pt idx="185">
                  <c:v>1221.9998563247163</c:v>
                </c:pt>
                <c:pt idx="186">
                  <c:v>1221.9998563247163</c:v>
                </c:pt>
                <c:pt idx="187">
                  <c:v>1223.7209379127905</c:v>
                </c:pt>
                <c:pt idx="188">
                  <c:v>1223.7209379127905</c:v>
                </c:pt>
                <c:pt idx="189">
                  <c:v>1225.0025267881645</c:v>
                </c:pt>
                <c:pt idx="190">
                  <c:v>1225.0025267881645</c:v>
                </c:pt>
                <c:pt idx="191">
                  <c:v>1225.715703976188</c:v>
                </c:pt>
                <c:pt idx="192">
                  <c:v>1225.715703976188</c:v>
                </c:pt>
                <c:pt idx="193">
                  <c:v>1226.2382266860548</c:v>
                </c:pt>
                <c:pt idx="194">
                  <c:v>1226.2382266860548</c:v>
                </c:pt>
                <c:pt idx="195">
                  <c:v>1226.6634485140735</c:v>
                </c:pt>
                <c:pt idx="196">
                  <c:v>1226.6634485140735</c:v>
                </c:pt>
                <c:pt idx="197">
                  <c:v>1227.03062992333</c:v>
                </c:pt>
                <c:pt idx="198">
                  <c:v>1227.03062992333</c:v>
                </c:pt>
                <c:pt idx="199">
                  <c:v>1227.3604847730176</c:v>
                </c:pt>
                <c:pt idx="200">
                  <c:v>1227.3604847730176</c:v>
                </c:pt>
                <c:pt idx="201">
                  <c:v>1227.6656006326839</c:v>
                </c:pt>
                <c:pt idx="202">
                  <c:v>1227.6656006326839</c:v>
                </c:pt>
                <c:pt idx="203">
                  <c:v>1227.9544961155536</c:v>
                </c:pt>
                <c:pt idx="204">
                  <c:v>1227.9544961155536</c:v>
                </c:pt>
                <c:pt idx="205">
                  <c:v>1228.2335139411859</c:v>
                </c:pt>
                <c:pt idx="206">
                  <c:v>1228.2335139411859</c:v>
                </c:pt>
                <c:pt idx="207">
                  <c:v>1228.5078447399153</c:v>
                </c:pt>
                <c:pt idx="208">
                  <c:v>1228.5078447399153</c:v>
                </c:pt>
                <c:pt idx="209">
                  <c:v>1228.7821755386447</c:v>
                </c:pt>
                <c:pt idx="210">
                  <c:v>1228.7821755386447</c:v>
                </c:pt>
                <c:pt idx="211">
                  <c:v>1229.061193364277</c:v>
                </c:pt>
                <c:pt idx="212">
                  <c:v>1229.061193364277</c:v>
                </c:pt>
                <c:pt idx="213">
                  <c:v>1229.3500888471467</c:v>
                </c:pt>
                <c:pt idx="214">
                  <c:v>1229.3500888471467</c:v>
                </c:pt>
                <c:pt idx="215">
                  <c:v>1229.655204706813</c:v>
                </c:pt>
                <c:pt idx="216">
                  <c:v>1229.655204706813</c:v>
                </c:pt>
                <c:pt idx="217">
                  <c:v>1229.9850595565006</c:v>
                </c:pt>
                <c:pt idx="218">
                  <c:v>1229.9850595565006</c:v>
                </c:pt>
                <c:pt idx="219">
                  <c:v>1230.3522409657571</c:v>
                </c:pt>
                <c:pt idx="220">
                  <c:v>1230.3522409657571</c:v>
                </c:pt>
                <c:pt idx="221">
                  <c:v>1230.7774627937758</c:v>
                </c:pt>
                <c:pt idx="222">
                  <c:v>1230.7774627937758</c:v>
                </c:pt>
                <c:pt idx="223">
                  <c:v>1231.2999855036426</c:v>
                </c:pt>
                <c:pt idx="224">
                  <c:v>1231.2999855036426</c:v>
                </c:pt>
                <c:pt idx="225">
                  <c:v>1232.0131626916661</c:v>
                </c:pt>
                <c:pt idx="226">
                  <c:v>1232.0131626916661</c:v>
                </c:pt>
                <c:pt idx="227">
                  <c:v>1233.2947515670401</c:v>
                </c:pt>
                <c:pt idx="228">
                  <c:v>1233.2947515670401</c:v>
                </c:pt>
                <c:pt idx="229">
                  <c:v>1235.0158331551143</c:v>
                </c:pt>
                <c:pt idx="230">
                  <c:v>1235.0158331551143</c:v>
                </c:pt>
                <c:pt idx="231">
                  <c:v>1335.0158331551143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8.1138308469401536E-9</c:v>
                </c:pt>
                <c:pt idx="3">
                  <c:v>8.1138308469401536E-9</c:v>
                </c:pt>
                <c:pt idx="4">
                  <c:v>6.6835971342790003E-8</c:v>
                </c:pt>
                <c:pt idx="5">
                  <c:v>6.6835971342790003E-8</c:v>
                </c:pt>
                <c:pt idx="6">
                  <c:v>1.5178636507946308E-7</c:v>
                </c:pt>
                <c:pt idx="7">
                  <c:v>1.5178636507946308E-7</c:v>
                </c:pt>
                <c:pt idx="8">
                  <c:v>2.4791217988720964E-7</c:v>
                </c:pt>
                <c:pt idx="9">
                  <c:v>2.4791217988720964E-7</c:v>
                </c:pt>
                <c:pt idx="10">
                  <c:v>3.4935857634148448E-7</c:v>
                </c:pt>
                <c:pt idx="11">
                  <c:v>3.4935857634148448E-7</c:v>
                </c:pt>
                <c:pt idx="12">
                  <c:v>4.5344525542805532E-7</c:v>
                </c:pt>
                <c:pt idx="13">
                  <c:v>4.5344525542805532E-7</c:v>
                </c:pt>
                <c:pt idx="14">
                  <c:v>5.5883605714369235E-7</c:v>
                </c:pt>
                <c:pt idx="15">
                  <c:v>5.5883605714369235E-7</c:v>
                </c:pt>
                <c:pt idx="16">
                  <c:v>6.648408291958237E-7</c:v>
                </c:pt>
                <c:pt idx="17">
                  <c:v>6.648408291958237E-7</c:v>
                </c:pt>
                <c:pt idx="18">
                  <c:v>7.711058974474672E-7</c:v>
                </c:pt>
                <c:pt idx="19">
                  <c:v>7.711058974474672E-7</c:v>
                </c:pt>
                <c:pt idx="20">
                  <c:v>8.7746113138507483E-7</c:v>
                </c:pt>
                <c:pt idx="21">
                  <c:v>8.7746113138507483E-7</c:v>
                </c:pt>
                <c:pt idx="22">
                  <c:v>9.838371714002623E-7</c:v>
                </c:pt>
                <c:pt idx="23">
                  <c:v>9.838371714002623E-7</c:v>
                </c:pt>
                <c:pt idx="24">
                  <c:v>1.1255697893475267E-6</c:v>
                </c:pt>
                <c:pt idx="25">
                  <c:v>1.1255697893475267E-6</c:v>
                </c:pt>
                <c:pt idx="26">
                  <c:v>1.3877783184321861E-6</c:v>
                </c:pt>
                <c:pt idx="27">
                  <c:v>1.3877783184321861E-6</c:v>
                </c:pt>
                <c:pt idx="28">
                  <c:v>1.6789208545100008E-6</c:v>
                </c:pt>
                <c:pt idx="29">
                  <c:v>1.6789208545100008E-6</c:v>
                </c:pt>
                <c:pt idx="30">
                  <c:v>1.8765921356792157E-6</c:v>
                </c:pt>
                <c:pt idx="31">
                  <c:v>1.8765921356792157E-6</c:v>
                </c:pt>
                <c:pt idx="32">
                  <c:v>1.9867904809602846E-6</c:v>
                </c:pt>
                <c:pt idx="33">
                  <c:v>1.9867904809602846E-6</c:v>
                </c:pt>
                <c:pt idx="34">
                  <c:v>2.0366542886779835E-6</c:v>
                </c:pt>
                <c:pt idx="35">
                  <c:v>2.0366542886779835E-6</c:v>
                </c:pt>
                <c:pt idx="36">
                  <c:v>2.054080361389302E-6</c:v>
                </c:pt>
                <c:pt idx="37">
                  <c:v>2.054080361389302E-6</c:v>
                </c:pt>
                <c:pt idx="38">
                  <c:v>2.0574455705923254E-6</c:v>
                </c:pt>
                <c:pt idx="39">
                  <c:v>2.0574455705923254E-6</c:v>
                </c:pt>
                <c:pt idx="40">
                  <c:v>2.0556361358500621E-6</c:v>
                </c:pt>
                <c:pt idx="41">
                  <c:v>2.0556361358500621E-6</c:v>
                </c:pt>
                <c:pt idx="42">
                  <c:v>2.0519479129182798E-6</c:v>
                </c:pt>
                <c:pt idx="43">
                  <c:v>2.0519479129182798E-6</c:v>
                </c:pt>
                <c:pt idx="44">
                  <c:v>2.0473233493298327E-6</c:v>
                </c:pt>
                <c:pt idx="45">
                  <c:v>2.0473233493298327E-6</c:v>
                </c:pt>
                <c:pt idx="46">
                  <c:v>2.0419557784426603E-6</c:v>
                </c:pt>
                <c:pt idx="47">
                  <c:v>2.0419557784426603E-6</c:v>
                </c:pt>
                <c:pt idx="48">
                  <c:v>2.0358588980463217E-6</c:v>
                </c:pt>
                <c:pt idx="49">
                  <c:v>2.0358588980463217E-6</c:v>
                </c:pt>
                <c:pt idx="50">
                  <c:v>2.0290216436749894E-6</c:v>
                </c:pt>
                <c:pt idx="51">
                  <c:v>2.0290216436749894E-6</c:v>
                </c:pt>
                <c:pt idx="52">
                  <c:v>2.0214424858924293E-6</c:v>
                </c:pt>
                <c:pt idx="53">
                  <c:v>2.0214424858924293E-6</c:v>
                </c:pt>
                <c:pt idx="54">
                  <c:v>2.0131366348238369E-6</c:v>
                </c:pt>
                <c:pt idx="55">
                  <c:v>2.0131366348238369E-6</c:v>
                </c:pt>
                <c:pt idx="56">
                  <c:v>2.0041379982265262E-6</c:v>
                </c:pt>
                <c:pt idx="57">
                  <c:v>2.0041379982265262E-6</c:v>
                </c:pt>
                <c:pt idx="58">
                  <c:v>1.9944997317853695E-6</c:v>
                </c:pt>
                <c:pt idx="59">
                  <c:v>1.9944997317853695E-6</c:v>
                </c:pt>
                <c:pt idx="60">
                  <c:v>1.9842938486839062E-6</c:v>
                </c:pt>
                <c:pt idx="61">
                  <c:v>1.9842938486839062E-6</c:v>
                </c:pt>
                <c:pt idx="62">
                  <c:v>1.973609907005142E-6</c:v>
                </c:pt>
                <c:pt idx="63">
                  <c:v>1.973609907005142E-6</c:v>
                </c:pt>
                <c:pt idx="64">
                  <c:v>1.9625527951017617E-6</c:v>
                </c:pt>
                <c:pt idx="65">
                  <c:v>1.9625527951017617E-6</c:v>
                </c:pt>
                <c:pt idx="66">
                  <c:v>1.9512396914304034E-6</c:v>
                </c:pt>
                <c:pt idx="67">
                  <c:v>1.9512396914304034E-6</c:v>
                </c:pt>
                <c:pt idx="68">
                  <c:v>1.9426623034026191E-6</c:v>
                </c:pt>
                <c:pt idx="69">
                  <c:v>1.9426623034026191E-6</c:v>
                </c:pt>
                <c:pt idx="70">
                  <c:v>1.9329103111327241E-6</c:v>
                </c:pt>
                <c:pt idx="71">
                  <c:v>1.9329103111327241E-6</c:v>
                </c:pt>
                <c:pt idx="72">
                  <c:v>1.919138567724728E-6</c:v>
                </c:pt>
                <c:pt idx="73">
                  <c:v>1.919138567724728E-6</c:v>
                </c:pt>
                <c:pt idx="74">
                  <c:v>1.9053695179304605E-6</c:v>
                </c:pt>
                <c:pt idx="75">
                  <c:v>1.9053695179304605E-6</c:v>
                </c:pt>
                <c:pt idx="76">
                  <c:v>1.8916121412412559E-6</c:v>
                </c:pt>
                <c:pt idx="77">
                  <c:v>1.8916121412412559E-6</c:v>
                </c:pt>
                <c:pt idx="78">
                  <c:v>1.8778884632352251E-6</c:v>
                </c:pt>
                <c:pt idx="79">
                  <c:v>1.8778884632352251E-6</c:v>
                </c:pt>
                <c:pt idx="80">
                  <c:v>1.8642442715677828E-6</c:v>
                </c:pt>
                <c:pt idx="81">
                  <c:v>1.8642442715677828E-6</c:v>
                </c:pt>
                <c:pt idx="82">
                  <c:v>1.8507689153093054E-6</c:v>
                </c:pt>
                <c:pt idx="83">
                  <c:v>1.8507689153093054E-6</c:v>
                </c:pt>
                <c:pt idx="84">
                  <c:v>1.8376353775179508E-6</c:v>
                </c:pt>
                <c:pt idx="85">
                  <c:v>1.8376353775179508E-6</c:v>
                </c:pt>
                <c:pt idx="86">
                  <c:v>1.8251906572949773E-6</c:v>
                </c:pt>
                <c:pt idx="87">
                  <c:v>1.8251906572949773E-6</c:v>
                </c:pt>
                <c:pt idx="88">
                  <c:v>1.81419273873378E-6</c:v>
                </c:pt>
                <c:pt idx="89">
                  <c:v>1.81419273873378E-6</c:v>
                </c:pt>
                <c:pt idx="90">
                  <c:v>1.8065904041181873E-6</c:v>
                </c:pt>
                <c:pt idx="91">
                  <c:v>1.8065904041181873E-6</c:v>
                </c:pt>
                <c:pt idx="92">
                  <c:v>1.8055399645975585E-6</c:v>
                </c:pt>
                <c:pt idx="93">
                  <c:v>1.8055399645975585E-6</c:v>
                </c:pt>
                <c:pt idx="94">
                  <c:v>1.801777694838134E-6</c:v>
                </c:pt>
                <c:pt idx="95">
                  <c:v>1.801777694838134E-6</c:v>
                </c:pt>
                <c:pt idx="96">
                  <c:v>1.7745490604773958E-6</c:v>
                </c:pt>
                <c:pt idx="97">
                  <c:v>1.7745490604773958E-6</c:v>
                </c:pt>
                <c:pt idx="98">
                  <c:v>1.7351587523189236E-6</c:v>
                </c:pt>
                <c:pt idx="99">
                  <c:v>1.7351587523189236E-6</c:v>
                </c:pt>
                <c:pt idx="100">
                  <c:v>1.6905865578803855E-6</c:v>
                </c:pt>
                <c:pt idx="101">
                  <c:v>1.6905865578803855E-6</c:v>
                </c:pt>
                <c:pt idx="102">
                  <c:v>1.6435472842274919E-6</c:v>
                </c:pt>
                <c:pt idx="103">
                  <c:v>1.6435472842274919E-6</c:v>
                </c:pt>
                <c:pt idx="104">
                  <c:v>1.5952837484854315E-6</c:v>
                </c:pt>
                <c:pt idx="105">
                  <c:v>1.5952837484854315E-6</c:v>
                </c:pt>
                <c:pt idx="106">
                  <c:v>1.5464155093397049E-6</c:v>
                </c:pt>
                <c:pt idx="107">
                  <c:v>1.5464155093397049E-6</c:v>
                </c:pt>
                <c:pt idx="108">
                  <c:v>1.497262580745338E-6</c:v>
                </c:pt>
                <c:pt idx="109">
                  <c:v>1.497262580745338E-6</c:v>
                </c:pt>
                <c:pt idx="110">
                  <c:v>1.4479889564477464E-6</c:v>
                </c:pt>
                <c:pt idx="111">
                  <c:v>1.4479889564477464E-6</c:v>
                </c:pt>
                <c:pt idx="112">
                  <c:v>1.3986735235840113E-6</c:v>
                </c:pt>
                <c:pt idx="113">
                  <c:v>1.3986735235840113E-6</c:v>
                </c:pt>
                <c:pt idx="114">
                  <c:v>1.349348443233415E-6</c:v>
                </c:pt>
                <c:pt idx="115">
                  <c:v>1.349348443233415E-6</c:v>
                </c:pt>
                <c:pt idx="116">
                  <c:v>1.3144243690258422E-6</c:v>
                </c:pt>
                <c:pt idx="117">
                  <c:v>1.3144243690258422E-6</c:v>
                </c:pt>
                <c:pt idx="118">
                  <c:v>1.2837078560417024E-6</c:v>
                </c:pt>
                <c:pt idx="119">
                  <c:v>1.2837078560417024E-6</c:v>
                </c:pt>
                <c:pt idx="120">
                  <c:v>1.243202396713137E-6</c:v>
                </c:pt>
                <c:pt idx="121">
                  <c:v>1.243202396713137E-6</c:v>
                </c:pt>
                <c:pt idx="122">
                  <c:v>1.2036342633214978E-6</c:v>
                </c:pt>
                <c:pt idx="123">
                  <c:v>1.2036342633214978E-6</c:v>
                </c:pt>
                <c:pt idx="124">
                  <c:v>1.1654498622510918E-6</c:v>
                </c:pt>
                <c:pt idx="125">
                  <c:v>1.1654498622510918E-6</c:v>
                </c:pt>
                <c:pt idx="126">
                  <c:v>1.1290813468418902E-6</c:v>
                </c:pt>
                <c:pt idx="127">
                  <c:v>1.1290813468418902E-6</c:v>
                </c:pt>
                <c:pt idx="128">
                  <c:v>1.0949627912262054E-6</c:v>
                </c:pt>
                <c:pt idx="129">
                  <c:v>1.0949627912262054E-6</c:v>
                </c:pt>
                <c:pt idx="130">
                  <c:v>1.0635676027029699E-6</c:v>
                </c:pt>
                <c:pt idx="131">
                  <c:v>1.0635676027029699E-6</c:v>
                </c:pt>
                <c:pt idx="132">
                  <c:v>1.0354741219676745E-6</c:v>
                </c:pt>
                <c:pt idx="133">
                  <c:v>1.0354741219676745E-6</c:v>
                </c:pt>
                <c:pt idx="134">
                  <c:v>1.011463971824994E-6</c:v>
                </c:pt>
                <c:pt idx="135">
                  <c:v>1.011463971824994E-6</c:v>
                </c:pt>
                <c:pt idx="136">
                  <c:v>9.9265097474254156E-7</c:v>
                </c:pt>
                <c:pt idx="137">
                  <c:v>9.9265097474254156E-7</c:v>
                </c:pt>
                <c:pt idx="138">
                  <c:v>9.8062614765397006E-7</c:v>
                </c:pt>
                <c:pt idx="139">
                  <c:v>9.8062614765397006E-7</c:v>
                </c:pt>
                <c:pt idx="140">
                  <c:v>9.7758703755959513E-7</c:v>
                </c:pt>
                <c:pt idx="141">
                  <c:v>9.7758703755959513E-7</c:v>
                </c:pt>
                <c:pt idx="142">
                  <c:v>9.8640134646131511E-7</c:v>
                </c:pt>
                <c:pt idx="143">
                  <c:v>9.8640134646131511E-7</c:v>
                </c:pt>
                <c:pt idx="144">
                  <c:v>1.0105429904862265E-6</c:v>
                </c:pt>
                <c:pt idx="145">
                  <c:v>1.0105429904862265E-6</c:v>
                </c:pt>
                <c:pt idx="146">
                  <c:v>1.053843293947234E-6</c:v>
                </c:pt>
                <c:pt idx="147">
                  <c:v>1.053843293947234E-6</c:v>
                </c:pt>
                <c:pt idx="148">
                  <c:v>1.1200291416592184E-6</c:v>
                </c:pt>
                <c:pt idx="149">
                  <c:v>1.1200291416592184E-6</c:v>
                </c:pt>
                <c:pt idx="150">
                  <c:v>1.2120746870923154E-6</c:v>
                </c:pt>
                <c:pt idx="151">
                  <c:v>1.2120746870923154E-6</c:v>
                </c:pt>
                <c:pt idx="152">
                  <c:v>1.3314631088803327E-6</c:v>
                </c:pt>
                <c:pt idx="153">
                  <c:v>1.3314631088803327E-6</c:v>
                </c:pt>
                <c:pt idx="154">
                  <c:v>1.4775176409391379E-6</c:v>
                </c:pt>
                <c:pt idx="155">
                  <c:v>1.4775176409391379E-6</c:v>
                </c:pt>
                <c:pt idx="156">
                  <c:v>1.6469890439579994E-6</c:v>
                </c:pt>
                <c:pt idx="157">
                  <c:v>1.6469890439579994E-6</c:v>
                </c:pt>
                <c:pt idx="158">
                  <c:v>1.8340586949659992E-6</c:v>
                </c:pt>
                <c:pt idx="159">
                  <c:v>1.8340586949659992E-6</c:v>
                </c:pt>
                <c:pt idx="160">
                  <c:v>1.9812134662840552E-6</c:v>
                </c:pt>
                <c:pt idx="161">
                  <c:v>1.9812134662840552E-6</c:v>
                </c:pt>
                <c:pt idx="162">
                  <c:v>2.0823394542220977E-6</c:v>
                </c:pt>
                <c:pt idx="163">
                  <c:v>2.0823394542220977E-6</c:v>
                </c:pt>
                <c:pt idx="164">
                  <c:v>2.2031849623988735E-6</c:v>
                </c:pt>
                <c:pt idx="165">
                  <c:v>2.2031849623988735E-6</c:v>
                </c:pt>
                <c:pt idx="166">
                  <c:v>2.3240068344164358E-6</c:v>
                </c:pt>
                <c:pt idx="167">
                  <c:v>2.3240068344164358E-6</c:v>
                </c:pt>
                <c:pt idx="168">
                  <c:v>2.4447262762425861E-6</c:v>
                </c:pt>
                <c:pt idx="169">
                  <c:v>2.4447262762425861E-6</c:v>
                </c:pt>
                <c:pt idx="170">
                  <c:v>2.5651500158927381E-6</c:v>
                </c:pt>
                <c:pt idx="171">
                  <c:v>2.5651500158927381E-6</c:v>
                </c:pt>
                <c:pt idx="172">
                  <c:v>2.6848762718115108E-6</c:v>
                </c:pt>
                <c:pt idx="173">
                  <c:v>2.6848762718115108E-6</c:v>
                </c:pt>
                <c:pt idx="174">
                  <c:v>2.803121015899125E-6</c:v>
                </c:pt>
                <c:pt idx="175">
                  <c:v>2.803121015899125E-6</c:v>
                </c:pt>
                <c:pt idx="176">
                  <c:v>2.9183663411666309E-6</c:v>
                </c:pt>
                <c:pt idx="177">
                  <c:v>2.9183663411666309E-6</c:v>
                </c:pt>
                <c:pt idx="178">
                  <c:v>3.0275673693087792E-6</c:v>
                </c:pt>
                <c:pt idx="179">
                  <c:v>3.0275673693087792E-6</c:v>
                </c:pt>
                <c:pt idx="180">
                  <c:v>3.1240728746787833E-6</c:v>
                </c:pt>
                <c:pt idx="181">
                  <c:v>3.1240728746787833E-6</c:v>
                </c:pt>
                <c:pt idx="182">
                  <c:v>3.1907825106873794E-6</c:v>
                </c:pt>
                <c:pt idx="183">
                  <c:v>3.1907825106873794E-6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3.1955797322917716E-6</c:v>
                </c:pt>
                <c:pt idx="187">
                  <c:v>3.1955797322917716E-6</c:v>
                </c:pt>
                <c:pt idx="188">
                  <c:v>3.1635889764714504E-6</c:v>
                </c:pt>
                <c:pt idx="189">
                  <c:v>3.1635889764714504E-6</c:v>
                </c:pt>
                <c:pt idx="190">
                  <c:v>3.1173095445583358E-6</c:v>
                </c:pt>
                <c:pt idx="191">
                  <c:v>3.1173095445583358E-6</c:v>
                </c:pt>
                <c:pt idx="192">
                  <c:v>3.0649419461775965E-6</c:v>
                </c:pt>
                <c:pt idx="193">
                  <c:v>3.0649419461775965E-6</c:v>
                </c:pt>
                <c:pt idx="194">
                  <c:v>3.0096757915310445E-6</c:v>
                </c:pt>
                <c:pt idx="195">
                  <c:v>3.0096757915310445E-6</c:v>
                </c:pt>
                <c:pt idx="196">
                  <c:v>2.9529712588507015E-6</c:v>
                </c:pt>
                <c:pt idx="197">
                  <c:v>2.9529712588507015E-6</c:v>
                </c:pt>
                <c:pt idx="198">
                  <c:v>2.8955562638433061E-6</c:v>
                </c:pt>
                <c:pt idx="199">
                  <c:v>2.8955562638433061E-6</c:v>
                </c:pt>
                <c:pt idx="200">
                  <c:v>2.8378067889455338E-6</c:v>
                </c:pt>
                <c:pt idx="201">
                  <c:v>2.8378067889455338E-6</c:v>
                </c:pt>
                <c:pt idx="202">
                  <c:v>2.7799155094049263E-6</c:v>
                </c:pt>
                <c:pt idx="203">
                  <c:v>2.7799155094049263E-6</c:v>
                </c:pt>
                <c:pt idx="204">
                  <c:v>2.7219751092359035E-6</c:v>
                </c:pt>
                <c:pt idx="205">
                  <c:v>2.7219751092359035E-6</c:v>
                </c:pt>
                <c:pt idx="206">
                  <c:v>2.6640233742936279E-6</c:v>
                </c:pt>
                <c:pt idx="207">
                  <c:v>2.6640233742936279E-6</c:v>
                </c:pt>
                <c:pt idx="208">
                  <c:v>2.6060703763248736E-6</c:v>
                </c:pt>
                <c:pt idx="209">
                  <c:v>2.6060703763248736E-6</c:v>
                </c:pt>
                <c:pt idx="210">
                  <c:v>2.548118641382598E-6</c:v>
                </c:pt>
                <c:pt idx="211">
                  <c:v>2.548118641382598E-6</c:v>
                </c:pt>
                <c:pt idx="212">
                  <c:v>2.4901782412135752E-6</c:v>
                </c:pt>
                <c:pt idx="213">
                  <c:v>2.4901782412135752E-6</c:v>
                </c:pt>
                <c:pt idx="214">
                  <c:v>2.4322869616729677E-6</c:v>
                </c:pt>
                <c:pt idx="215">
                  <c:v>2.4322869616729677E-6</c:v>
                </c:pt>
                <c:pt idx="216">
                  <c:v>2.3745374867751954E-6</c:v>
                </c:pt>
                <c:pt idx="217">
                  <c:v>2.3745374867751954E-6</c:v>
                </c:pt>
                <c:pt idx="218">
                  <c:v>2.3171224917678E-6</c:v>
                </c:pt>
                <c:pt idx="219">
                  <c:v>2.3171224917678E-6</c:v>
                </c:pt>
                <c:pt idx="220">
                  <c:v>2.260417959087457E-6</c:v>
                </c:pt>
                <c:pt idx="221">
                  <c:v>2.260417959087457E-6</c:v>
                </c:pt>
                <c:pt idx="222">
                  <c:v>2.205151804440905E-6</c:v>
                </c:pt>
                <c:pt idx="223">
                  <c:v>2.205151804440905E-6</c:v>
                </c:pt>
                <c:pt idx="224">
                  <c:v>2.1527842060601656E-6</c:v>
                </c:pt>
                <c:pt idx="225">
                  <c:v>2.1527842060601656E-6</c:v>
                </c:pt>
                <c:pt idx="226">
                  <c:v>2.1065047741470511E-6</c:v>
                </c:pt>
                <c:pt idx="227">
                  <c:v>2.1065047741470511E-6</c:v>
                </c:pt>
                <c:pt idx="228">
                  <c:v>2.0745140183267299E-6</c:v>
                </c:pt>
                <c:pt idx="229">
                  <c:v>2.0745140183267299E-6</c:v>
                </c:pt>
                <c:pt idx="230">
                  <c:v>2.0700937506185016E-6</c:v>
                </c:pt>
                <c:pt idx="231">
                  <c:v>2.0700937506185016E-6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8.4303868303500003E-3</c:v>
                </c:pt>
                <c:pt idx="1">
                  <c:v>8.5146906986500008E-3</c:v>
                </c:pt>
                <c:pt idx="2">
                  <c:v>8.5998376056400008E-3</c:v>
                </c:pt>
                <c:pt idx="3">
                  <c:v>8.6858359817000002E-3</c:v>
                </c:pt>
                <c:pt idx="4">
                  <c:v>8.7726943415100001E-3</c:v>
                </c:pt>
                <c:pt idx="5">
                  <c:v>8.86042128493E-3</c:v>
                </c:pt>
                <c:pt idx="6">
                  <c:v>8.9490254977800006E-3</c:v>
                </c:pt>
                <c:pt idx="7">
                  <c:v>9.0385157527600006E-3</c:v>
                </c:pt>
                <c:pt idx="8">
                  <c:v>9.1289009102799995E-3</c:v>
                </c:pt>
                <c:pt idx="9">
                  <c:v>9.2201899193900001E-3</c:v>
                </c:pt>
                <c:pt idx="10">
                  <c:v>9.3123918185800004E-3</c:v>
                </c:pt>
                <c:pt idx="11">
                  <c:v>9.4055157367700006E-3</c:v>
                </c:pt>
                <c:pt idx="12">
                  <c:v>9.4995708941299998E-3</c:v>
                </c:pt>
                <c:pt idx="13">
                  <c:v>9.5945666030799997E-3</c:v>
                </c:pt>
                <c:pt idx="14">
                  <c:v>9.69051226911E-3</c:v>
                </c:pt>
                <c:pt idx="15">
                  <c:v>9.7874173918000001E-3</c:v>
                </c:pt>
                <c:pt idx="16">
                  <c:v>9.8852915657199995E-3</c:v>
                </c:pt>
                <c:pt idx="17">
                  <c:v>9.9841444813699998E-3</c:v>
                </c:pt>
                <c:pt idx="18">
                  <c:v>1.0083985926200001E-2</c:v>
                </c:pt>
                <c:pt idx="19">
                  <c:v>1.01848257854E-2</c:v>
                </c:pt>
                <c:pt idx="20">
                  <c:v>1.02866740433E-2</c:v>
                </c:pt>
                <c:pt idx="21">
                  <c:v>1.03895407837E-2</c:v>
                </c:pt>
                <c:pt idx="22">
                  <c:v>1.04934361916E-2</c:v>
                </c:pt>
                <c:pt idx="23">
                  <c:v>1.05983705535E-2</c:v>
                </c:pt>
                <c:pt idx="24">
                  <c:v>1.0704354259E-2</c:v>
                </c:pt>
                <c:pt idx="25">
                  <c:v>1.08113978016E-2</c:v>
                </c:pt>
                <c:pt idx="26">
                  <c:v>1.0919511779600001E-2</c:v>
                </c:pt>
                <c:pt idx="27">
                  <c:v>1.1028706897400001E-2</c:v>
                </c:pt>
                <c:pt idx="28">
                  <c:v>1.11389939664E-2</c:v>
                </c:pt>
                <c:pt idx="29">
                  <c:v>1.12503839061E-2</c:v>
                </c:pt>
                <c:pt idx="30">
                  <c:v>1.1362887745099999E-2</c:v>
                </c:pt>
                <c:pt idx="31">
                  <c:v>1.14765166226E-2</c:v>
                </c:pt>
                <c:pt idx="32">
                  <c:v>1.1591281788799999E-2</c:v>
                </c:pt>
                <c:pt idx="33">
                  <c:v>1.17071946067E-2</c:v>
                </c:pt>
                <c:pt idx="34">
                  <c:v>1.18242665528E-2</c:v>
                </c:pt>
                <c:pt idx="35">
                  <c:v>1.19425092183E-2</c:v>
                </c:pt>
                <c:pt idx="36">
                  <c:v>1.2061934310500001E-2</c:v>
                </c:pt>
                <c:pt idx="37">
                  <c:v>1.2182553653599999E-2</c:v>
                </c:pt>
                <c:pt idx="38">
                  <c:v>1.2304379190100001E-2</c:v>
                </c:pt>
                <c:pt idx="39">
                  <c:v>1.2427422981999999E-2</c:v>
                </c:pt>
                <c:pt idx="40">
                  <c:v>1.25516972118E-2</c:v>
                </c:pt>
                <c:pt idx="41">
                  <c:v>1.26772141839E-2</c:v>
                </c:pt>
                <c:pt idx="42">
                  <c:v>1.28039863258E-2</c:v>
                </c:pt>
                <c:pt idx="43">
                  <c:v>1.2932026189000001E-2</c:v>
                </c:pt>
                <c:pt idx="44">
                  <c:v>1.3061346450899999E-2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9.0919248388599994E-2</c:v>
                </c:pt>
                <c:pt idx="240">
                  <c:v>9.18284408725E-2</c:v>
                </c:pt>
                <c:pt idx="241">
                  <c:v>9.2746725281199996E-2</c:v>
                </c:pt>
                <c:pt idx="242">
                  <c:v>9.3674192534E-2</c:v>
                </c:pt>
                <c:pt idx="243">
                  <c:v>9.4610934459399998E-2</c:v>
                </c:pt>
                <c:pt idx="244">
                  <c:v>9.5557043804E-2</c:v>
                </c:pt>
                <c:pt idx="245">
                  <c:v>9.6512614242E-2</c:v>
                </c:pt>
                <c:pt idx="246">
                  <c:v>9.7477740384400005E-2</c:v>
                </c:pt>
                <c:pt idx="247">
                  <c:v>9.8452517788299998E-2</c:v>
                </c:pt>
                <c:pt idx="248">
                  <c:v>9.9437042966199998E-2</c:v>
                </c:pt>
                <c:pt idx="249">
                  <c:v>0.10043141339599999</c:v>
                </c:pt>
                <c:pt idx="250">
                  <c:v>0.10143572753000001</c:v>
                </c:pt>
                <c:pt idx="251">
                  <c:v>0.10245008480499999</c:v>
                </c:pt>
                <c:pt idx="252">
                  <c:v>0.103474585653</c:v>
                </c:pt>
                <c:pt idx="253">
                  <c:v>0.10450933151</c:v>
                </c:pt>
                <c:pt idx="254">
                  <c:v>0.10555442482500001</c:v>
                </c:pt>
                <c:pt idx="255">
                  <c:v>0.10660996907299999</c:v>
                </c:pt>
                <c:pt idx="256">
                  <c:v>0.107676068764</c:v>
                </c:pt>
                <c:pt idx="257">
                  <c:v>0.108752829451</c:v>
                </c:pt>
                <c:pt idx="258">
                  <c:v>0.109840357746</c:v>
                </c:pt>
                <c:pt idx="259">
                  <c:v>0.110938761323</c:v>
                </c:pt>
                <c:pt idx="260">
                  <c:v>0.11204814893700001</c:v>
                </c:pt>
                <c:pt idx="261">
                  <c:v>0.11316863042600001</c:v>
                </c:pt>
                <c:pt idx="262">
                  <c:v>0.11430031673</c:v>
                </c:pt>
                <c:pt idx="263">
                  <c:v>0.115443319898</c:v>
                </c:pt>
                <c:pt idx="264">
                  <c:v>0.116597753096</c:v>
                </c:pt>
                <c:pt idx="265">
                  <c:v>0.117763730627</c:v>
                </c:pt>
                <c:pt idx="266">
                  <c:v>0.11894136793399999</c:v>
                </c:pt>
                <c:pt idx="267">
                  <c:v>0.120130781613</c:v>
                </c:pt>
                <c:pt idx="268">
                  <c:v>0.12133208942900001</c:v>
                </c:pt>
                <c:pt idx="269">
                  <c:v>0.122545410323</c:v>
                </c:pt>
                <c:pt idx="270">
                  <c:v>0.123770864427</c:v>
                </c:pt>
                <c:pt idx="271">
                  <c:v>0.125008573071</c:v>
                </c:pt>
                <c:pt idx="272">
                  <c:v>0.12625865880199999</c:v>
                </c:pt>
                <c:pt idx="273">
                  <c:v>0.12752124539000001</c:v>
                </c:pt>
                <c:pt idx="274">
                  <c:v>0.12879645784400001</c:v>
                </c:pt>
                <c:pt idx="275">
                  <c:v>0.130084422422</c:v>
                </c:pt>
                <c:pt idx="276">
                  <c:v>0.131385266646</c:v>
                </c:pt>
                <c:pt idx="277">
                  <c:v>0.13269911931299999</c:v>
                </c:pt>
                <c:pt idx="278">
                  <c:v>0.134026110506</c:v>
                </c:pt>
                <c:pt idx="279">
                  <c:v>0.13536637161100001</c:v>
                </c:pt>
                <c:pt idx="280">
                  <c:v>0.136720035327</c:v>
                </c:pt>
                <c:pt idx="281">
                  <c:v>0.13808723568</c:v>
                </c:pt>
                <c:pt idx="282">
                  <c:v>0.13946810803699999</c:v>
                </c:pt>
                <c:pt idx="283">
                  <c:v>0.14086278911700001</c:v>
                </c:pt>
                <c:pt idx="284">
                  <c:v>0.14227141700900001</c:v>
                </c:pt>
                <c:pt idx="285">
                  <c:v>0.14369413117900001</c:v>
                </c:pt>
                <c:pt idx="286">
                  <c:v>0.14513107249099999</c:v>
                </c:pt>
                <c:pt idx="287">
                  <c:v>0.146582383215</c:v>
                </c:pt>
                <c:pt idx="288">
                  <c:v>0.14804820704800001</c:v>
                </c:pt>
                <c:pt idx="289">
                  <c:v>0.14952868911799999</c:v>
                </c:pt>
                <c:pt idx="290">
                  <c:v>0.151023976009</c:v>
                </c:pt>
                <c:pt idx="291">
                  <c:v>0.152534215769</c:v>
                </c:pt>
                <c:pt idx="292">
                  <c:v>0.15405955792699999</c:v>
                </c:pt>
                <c:pt idx="293">
                  <c:v>0.15560015350600001</c:v>
                </c:pt>
                <c:pt idx="294">
                  <c:v>0.157156155041</c:v>
                </c:pt>
                <c:pt idx="295">
                  <c:v>0.158727716592</c:v>
                </c:pt>
                <c:pt idx="296">
                  <c:v>0.16031499375800001</c:v>
                </c:pt>
                <c:pt idx="297">
                  <c:v>0.16191814369499999</c:v>
                </c:pt>
                <c:pt idx="298">
                  <c:v>0.16353732513200001</c:v>
                </c:pt>
                <c:pt idx="299">
                  <c:v>0.16517269838400001</c:v>
                </c:pt>
                <c:pt idx="300">
                  <c:v>0.16682442536700001</c:v>
                </c:pt>
                <c:pt idx="301">
                  <c:v>0.16849266962100001</c:v>
                </c:pt>
                <c:pt idx="302">
                  <c:v>0.170177596317</c:v>
                </c:pt>
                <c:pt idx="303">
                  <c:v>0.17187937228</c:v>
                </c:pt>
                <c:pt idx="304">
                  <c:v>0.17359816600299999</c:v>
                </c:pt>
                <c:pt idx="305">
                  <c:v>0.17533414766300001</c:v>
                </c:pt>
                <c:pt idx="306">
                  <c:v>0.17708748914</c:v>
                </c:pt>
                <c:pt idx="307">
                  <c:v>0.178858364031</c:v>
                </c:pt>
                <c:pt idx="308">
                  <c:v>0.18064694767200001</c:v>
                </c:pt>
                <c:pt idx="309">
                  <c:v>0.18245341714800001</c:v>
                </c:pt>
                <c:pt idx="310">
                  <c:v>0.18427795131999999</c:v>
                </c:pt>
                <c:pt idx="311">
                  <c:v>0.18612073083299999</c:v>
                </c:pt>
                <c:pt idx="312">
                  <c:v>0.187981938141</c:v>
                </c:pt>
                <c:pt idx="313">
                  <c:v>0.189861757523</c:v>
                </c:pt>
                <c:pt idx="314">
                  <c:v>0.19176037509800001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5.0042880388723169E-9</c:v>
                </c:pt>
                <c:pt idx="1">
                  <c:v>5.2048380891051353E-9</c:v>
                </c:pt>
                <c:pt idx="2">
                  <c:v>5.4130752661685241E-9</c:v>
                </c:pt>
                <c:pt idx="3">
                  <c:v>5.6291983691085222E-9</c:v>
                </c:pt>
                <c:pt idx="4">
                  <c:v>5.8533843676267859E-9</c:v>
                </c:pt>
                <c:pt idx="5">
                  <c:v>6.0857684565137988E-9</c:v>
                </c:pt>
                <c:pt idx="6">
                  <c:v>6.3264156992808848E-9</c:v>
                </c:pt>
                <c:pt idx="7">
                  <c:v>6.575280266853619E-9</c:v>
                </c:pt>
                <c:pt idx="8">
                  <c:v>6.8321376938518722E-9</c:v>
                </c:pt>
                <c:pt idx="9">
                  <c:v>7.0964656746256316E-9</c:v>
                </c:pt>
                <c:pt idx="10">
                  <c:v>7.3672221717633895E-9</c:v>
                </c:pt>
                <c:pt idx="11">
                  <c:v>7.6424015450781427E-9</c:v>
                </c:pt>
                <c:pt idx="12">
                  <c:v>7.918055096633257E-9</c:v>
                </c:pt>
                <c:pt idx="13">
                  <c:v>8.1858728367154922E-9</c:v>
                </c:pt>
                <c:pt idx="14">
                  <c:v>8.4275804795304758E-9</c:v>
                </c:pt>
                <c:pt idx="15">
                  <c:v>8.603549962186187E-9</c:v>
                </c:pt>
                <c:pt idx="16">
                  <c:v>8.6422269391289319E-9</c:v>
                </c:pt>
                <c:pt idx="17">
                  <c:v>8.4236402198548321E-9</c:v>
                </c:pt>
                <c:pt idx="18">
                  <c:v>7.7380043423006824E-9</c:v>
                </c:pt>
                <c:pt idx="19">
                  <c:v>6.4055509857828857E-9</c:v>
                </c:pt>
                <c:pt idx="20">
                  <c:v>4.7278516389506447E-9</c:v>
                </c:pt>
                <c:pt idx="21">
                  <c:v>3.4488880802884873E-9</c:v>
                </c:pt>
                <c:pt idx="22">
                  <c:v>2.9176558713722273E-9</c:v>
                </c:pt>
                <c:pt idx="23">
                  <c:v>2.8629947072201168E-9</c:v>
                </c:pt>
                <c:pt idx="24">
                  <c:v>2.9390283263913573E-9</c:v>
                </c:pt>
                <c:pt idx="25">
                  <c:v>2.9985475471659442E-9</c:v>
                </c:pt>
                <c:pt idx="26">
                  <c:v>3.0125908288850718E-9</c:v>
                </c:pt>
                <c:pt idx="27">
                  <c:v>2.9822022424949777E-9</c:v>
                </c:pt>
                <c:pt idx="28">
                  <c:v>2.9129260208974275E-9</c:v>
                </c:pt>
                <c:pt idx="29">
                  <c:v>2.8099634499748599E-9</c:v>
                </c:pt>
                <c:pt idx="30">
                  <c:v>2.6782830319344053E-9</c:v>
                </c:pt>
                <c:pt idx="31">
                  <c:v>2.5228450423976881E-9</c:v>
                </c:pt>
                <c:pt idx="32">
                  <c:v>2.3487428415219963E-9</c:v>
                </c:pt>
                <c:pt idx="33">
                  <c:v>2.1612525406647272E-9</c:v>
                </c:pt>
                <c:pt idx="34">
                  <c:v>1.9658047536998E-9</c:v>
                </c:pt>
                <c:pt idx="35">
                  <c:v>1.7678946069553227E-9</c:v>
                </c:pt>
                <c:pt idx="36">
                  <c:v>1.5729466913558609E-9</c:v>
                </c:pt>
                <c:pt idx="37">
                  <c:v>1.3861522525747702E-9</c:v>
                </c:pt>
                <c:pt idx="38">
                  <c:v>1.2122961871069693E-9</c:v>
                </c:pt>
                <c:pt idx="39">
                  <c:v>1.0555907251921914E-9</c:v>
                </c:pt>
                <c:pt idx="40">
                  <c:v>9.1953068337498785E-10</c:v>
                </c:pt>
                <c:pt idx="41">
                  <c:v>8.0678190479225099E-10</c:v>
                </c:pt>
                <c:pt idx="42">
                  <c:v>7.1911034062479451E-10</c:v>
                </c:pt>
                <c:pt idx="43">
                  <c:v>6.5711922497028712E-10</c:v>
                </c:pt>
                <c:pt idx="44">
                  <c:v>6.2125913759940035E-10</c:v>
                </c:pt>
                <c:pt idx="45">
                  <c:v>6.1030475145108709E-10</c:v>
                </c:pt>
                <c:pt idx="46">
                  <c:v>6.2254519650617346E-10</c:v>
                </c:pt>
                <c:pt idx="47">
                  <c:v>6.5559889842887636E-10</c:v>
                </c:pt>
                <c:pt idx="48">
                  <c:v>7.0653340967683814E-10</c:v>
                </c:pt>
                <c:pt idx="49">
                  <c:v>7.7199222628886095E-10</c:v>
                </c:pt>
                <c:pt idx="50">
                  <c:v>8.4832271088570964E-10</c:v>
                </c:pt>
                <c:pt idx="51">
                  <c:v>9.3170085660407069E-10</c:v>
                </c:pt>
                <c:pt idx="52">
                  <c:v>1.0182501862128463E-9</c:v>
                </c:pt>
                <c:pt idx="53">
                  <c:v>1.1041534010556152E-9</c:v>
                </c:pt>
                <c:pt idx="54">
                  <c:v>1.1857563456482443E-9</c:v>
                </c:pt>
                <c:pt idx="55">
                  <c:v>1.2596644093012034E-9</c:v>
                </c:pt>
                <c:pt idx="56">
                  <c:v>1.3228316400137224E-9</c:v>
                </c:pt>
                <c:pt idx="57">
                  <c:v>1.37264265369134E-9</c:v>
                </c:pt>
                <c:pt idx="58">
                  <c:v>1.4069869566115111E-9</c:v>
                </c:pt>
                <c:pt idx="59">
                  <c:v>1.4243246428585868E-9</c:v>
                </c:pt>
                <c:pt idx="60">
                  <c:v>1.4237416861475814E-9</c:v>
                </c:pt>
                <c:pt idx="61">
                  <c:v>1.4049923194698822E-9</c:v>
                </c:pt>
                <c:pt idx="62">
                  <c:v>1.3685253969312214E-9</c:v>
                </c:pt>
                <c:pt idx="63">
                  <c:v>1.315491269796956E-9</c:v>
                </c:pt>
                <c:pt idx="64">
                  <c:v>1.2477256826495354E-9</c:v>
                </c:pt>
                <c:pt idx="65">
                  <c:v>1.1677075909548232E-9</c:v>
                </c:pt>
                <c:pt idx="66">
                  <c:v>1.0784886616873921E-9</c:v>
                </c:pt>
                <c:pt idx="67">
                  <c:v>9.8359355221119192E-10</c:v>
                </c:pt>
                <c:pt idx="68">
                  <c:v>8.8689181219649635E-10</c:v>
                </c:pt>
                <c:pt idx="69">
                  <c:v>7.9244430308362203E-10</c:v>
                </c:pt>
                <c:pt idx="70">
                  <c:v>7.0432920812605818E-10</c:v>
                </c:pt>
                <c:pt idx="71">
                  <c:v>6.26454793392439E-10</c:v>
                </c:pt>
                <c:pt idx="72">
                  <c:v>5.623678551073348E-10</c:v>
                </c:pt>
                <c:pt idx="73">
                  <c:v>5.1506802795357644E-10</c:v>
                </c:pt>
                <c:pt idx="74">
                  <c:v>4.8683867262278088E-10</c:v>
                </c:pt>
                <c:pt idx="75">
                  <c:v>4.7910482212598269E-10</c:v>
                </c:pt>
                <c:pt idx="76">
                  <c:v>4.9232764415520473E-10</c:v>
                </c:pt>
                <c:pt idx="77">
                  <c:v>5.2594316578370574E-10</c:v>
                </c:pt>
                <c:pt idx="78">
                  <c:v>5.7835076840273656E-10</c:v>
                </c:pt>
                <c:pt idx="79">
                  <c:v>6.4695439744987567E-10</c:v>
                </c:pt>
                <c:pt idx="80">
                  <c:v>7.2825675064965527E-10</c:v>
                </c:pt>
                <c:pt idx="81">
                  <c:v>8.1800408515017936E-10</c:v>
                </c:pt>
                <c:pt idx="82">
                  <c:v>9.1137684224211771E-10</c:v>
                </c:pt>
                <c:pt idx="83">
                  <c:v>1.0032190847577651E-9</c:v>
                </c:pt>
                <c:pt idx="84">
                  <c:v>1.0882977805459813E-9</c:v>
                </c:pt>
                <c:pt idx="85">
                  <c:v>1.1615812097036946E-9</c:v>
                </c:pt>
                <c:pt idx="86">
                  <c:v>1.2185241829618334E-9</c:v>
                </c:pt>
                <c:pt idx="87">
                  <c:v>1.2553463282539075E-9</c:v>
                </c:pt>
                <c:pt idx="88">
                  <c:v>1.2692884742229858E-9</c:v>
                </c:pt>
                <c:pt idx="89">
                  <c:v>1.2588312739249788E-9</c:v>
                </c:pt>
                <c:pt idx="90">
                  <c:v>1.2238598796813624E-9</c:v>
                </c:pt>
                <c:pt idx="91">
                  <c:v>1.165758993418689E-9</c:v>
                </c:pt>
                <c:pt idx="92">
                  <c:v>1.0874242918721393E-9</c:v>
                </c:pt>
                <c:pt idx="93">
                  <c:v>9.9317935110501701E-10</c:v>
                </c:pt>
                <c:pt idx="94">
                  <c:v>8.8859195450653233E-10</c:v>
                </c:pt>
                <c:pt idx="95">
                  <c:v>7.8019005344275692E-10</c:v>
                </c:pt>
                <c:pt idx="96">
                  <c:v>6.7508541818289053E-10</c:v>
                </c:pt>
                <c:pt idx="97">
                  <c:v>5.8052162889100629E-10</c:v>
                </c:pt>
                <c:pt idx="98">
                  <c:v>5.0337172702349608E-10</c:v>
                </c:pt>
                <c:pt idx="99">
                  <c:v>4.4961859778949631E-10</c:v>
                </c:pt>
                <c:pt idx="100">
                  <c:v>4.2385695223421694E-10</c:v>
                </c:pt>
                <c:pt idx="101">
                  <c:v>4.2885869434475879E-10</c:v>
                </c:pt>
                <c:pt idx="102">
                  <c:v>4.6524281655955838E-10</c:v>
                </c:pt>
                <c:pt idx="103">
                  <c:v>5.3128647287894445E-10</c:v>
                </c:pt>
                <c:pt idx="104">
                  <c:v>6.2290565584799987E-10</c:v>
                </c:pt>
                <c:pt idx="105">
                  <c:v>7.338224783140369E-10</c:v>
                </c:pt>
                <c:pt idx="106">
                  <c:v>8.5592225539755778E-10</c:v>
                </c:pt>
                <c:pt idx="107">
                  <c:v>9.797883960011805E-10</c:v>
                </c:pt>
                <c:pt idx="108">
                  <c:v>1.0953875811356448E-9</c:v>
                </c:pt>
                <c:pt idx="109">
                  <c:v>1.1928628448687658E-9</c:v>
                </c:pt>
                <c:pt idx="110">
                  <c:v>1.2633789358266991E-9</c:v>
                </c:pt>
                <c:pt idx="111">
                  <c:v>1.2999536944394529E-9</c:v>
                </c:pt>
                <c:pt idx="112">
                  <c:v>1.298202173012651E-9</c:v>
                </c:pt>
                <c:pt idx="113">
                  <c:v>1.2569180253665724E-9</c:v>
                </c:pt>
                <c:pt idx="114">
                  <c:v>1.1784205690085328E-9</c:v>
                </c:pt>
                <c:pt idx="115">
                  <c:v>1.0686070779809041E-9</c:v>
                </c:pt>
                <c:pt idx="116">
                  <c:v>9.3666912966811723E-10</c:v>
                </c:pt>
                <c:pt idx="117">
                  <c:v>7.9445925674937104E-10</c:v>
                </c:pt>
                <c:pt idx="118">
                  <c:v>6.5552860218613484E-10</c:v>
                </c:pt>
                <c:pt idx="119">
                  <c:v>5.3389510752580996E-10</c:v>
                </c:pt>
                <c:pt idx="120">
                  <c:v>4.4264085091798865E-10</c:v>
                </c:pt>
                <c:pt idx="121">
                  <c:v>3.9247118194881573E-10</c:v>
                </c:pt>
                <c:pt idx="122">
                  <c:v>3.9039156422623703E-10</c:v>
                </c:pt>
                <c:pt idx="123">
                  <c:v>4.3866536864366032E-10</c:v>
                </c:pt>
                <c:pt idx="124">
                  <c:v>5.3420371523602459E-10</c:v>
                </c:pt>
                <c:pt idx="125">
                  <c:v>6.6850571922716635E-10</c:v>
                </c:pt>
                <c:pt idx="126">
                  <c:v>8.2821584124268433E-10</c:v>
                </c:pt>
                <c:pt idx="127">
                  <c:v>9.9629883641262084E-10</c:v>
                </c:pt>
                <c:pt idx="128">
                  <c:v>1.1537585167843606E-9</c:v>
                </c:pt>
                <c:pt idx="129">
                  <c:v>1.2817520224487861E-9</c:v>
                </c:pt>
                <c:pt idx="130">
                  <c:v>1.3638849974207656E-9</c:v>
                </c:pt>
                <c:pt idx="131">
                  <c:v>1.3884235184486705E-9</c:v>
                </c:pt>
                <c:pt idx="132">
                  <c:v>1.3501340160739674E-9</c:v>
                </c:pt>
                <c:pt idx="133">
                  <c:v>1.2514700515778105E-9</c:v>
                </c:pt>
                <c:pt idx="134">
                  <c:v>1.1028701843620101E-9</c:v>
                </c:pt>
                <c:pt idx="135">
                  <c:v>9.2201650848868524E-10</c:v>
                </c:pt>
                <c:pt idx="136">
                  <c:v>7.3202580011784905E-10</c:v>
                </c:pt>
                <c:pt idx="137">
                  <c:v>5.586946628158706E-10</c:v>
                </c:pt>
                <c:pt idx="138">
                  <c:v>4.2707881195218529E-10</c:v>
                </c:pt>
                <c:pt idx="139">
                  <c:v>3.5783012257657187E-10</c:v>
                </c:pt>
                <c:pt idx="140">
                  <c:v>3.6381520960730438E-10</c:v>
                </c:pt>
                <c:pt idx="141">
                  <c:v>4.475699383506237E-10</c:v>
                </c:pt>
                <c:pt idx="142">
                  <c:v>6.0008734986006557E-10</c:v>
                </c:pt>
                <c:pt idx="143">
                  <c:v>8.0128750956229076E-10</c:v>
                </c:pt>
                <c:pt idx="144">
                  <c:v>1.022288623024837E-9</c:v>
                </c:pt>
                <c:pt idx="145">
                  <c:v>1.2293172176409844E-9</c:v>
                </c:pt>
                <c:pt idx="146">
                  <c:v>1.3888014787964174E-9</c:v>
                </c:pt>
                <c:pt idx="147">
                  <c:v>1.4729331666279193E-9</c:v>
                </c:pt>
                <c:pt idx="148">
                  <c:v>1.4651350196969271E-9</c:v>
                </c:pt>
                <c:pt idx="149">
                  <c:v>1.3625621952666134E-9</c:v>
                </c:pt>
                <c:pt idx="150">
                  <c:v>1.1795041177363494E-9</c:v>
                </c:pt>
                <c:pt idx="151">
                  <c:v>9.451141264174407E-10</c:v>
                </c:pt>
                <c:pt idx="152">
                  <c:v>6.9961281002156422E-10</c:v>
                </c:pt>
                <c:pt idx="153">
                  <c:v>4.8775956896979279E-10</c:v>
                </c:pt>
                <c:pt idx="154">
                  <c:v>3.5078562614611032E-10</c:v>
                </c:pt>
                <c:pt idx="155">
                  <c:v>3.1818160948755935E-10</c:v>
                </c:pt>
                <c:pt idx="156">
                  <c:v>4.00967360079413E-10</c:v>
                </c:pt>
                <c:pt idx="157">
                  <c:v>5.8799774234470114E-10</c:v>
                </c:pt>
                <c:pt idx="158">
                  <c:v>8.4643603250173448E-10</c:v>
                </c:pt>
                <c:pt idx="159">
                  <c:v>1.1267913687661171E-9</c:v>
                </c:pt>
                <c:pt idx="160">
                  <c:v>1.3719832257070318E-9</c:v>
                </c:pt>
                <c:pt idx="161">
                  <c:v>1.5289416668608646E-9</c:v>
                </c:pt>
                <c:pt idx="162">
                  <c:v>1.5604870166085494E-9</c:v>
                </c:pt>
                <c:pt idx="163">
                  <c:v>1.4548586418041998E-9</c:v>
                </c:pt>
                <c:pt idx="164">
                  <c:v>1.2304317283293819E-9</c:v>
                </c:pt>
                <c:pt idx="165">
                  <c:v>9.3393362088025179E-10</c:v>
                </c:pt>
                <c:pt idx="166">
                  <c:v>6.3178004427789889E-10</c:v>
                </c:pt>
                <c:pt idx="167">
                  <c:v>3.9578042780666485E-10</c:v>
                </c:pt>
                <c:pt idx="168">
                  <c:v>2.8605750038711807E-10</c:v>
                </c:pt>
                <c:pt idx="169">
                  <c:v>3.351579070737621E-10</c:v>
                </c:pt>
                <c:pt idx="170">
                  <c:v>5.3759577998297528E-10</c:v>
                </c:pt>
                <c:pt idx="171">
                  <c:v>8.4823036373894553E-10</c:v>
                </c:pt>
                <c:pt idx="172">
                  <c:v>1.1909678634810945E-9</c:v>
                </c:pt>
                <c:pt idx="173">
                  <c:v>1.4766533013105745E-9</c:v>
                </c:pt>
                <c:pt idx="174">
                  <c:v>1.6263078872764291E-9</c:v>
                </c:pt>
                <c:pt idx="175">
                  <c:v>1.5938316840646279E-9</c:v>
                </c:pt>
                <c:pt idx="176">
                  <c:v>1.3816304566799178E-9</c:v>
                </c:pt>
                <c:pt idx="177">
                  <c:v>1.0437736846374376E-9</c:v>
                </c:pt>
                <c:pt idx="178">
                  <c:v>6.7423759877166119E-10</c:v>
                </c:pt>
                <c:pt idx="179">
                  <c:v>3.8197420675243268E-10</c:v>
                </c:pt>
                <c:pt idx="180">
                  <c:v>2.5889615462388805E-10</c:v>
                </c:pt>
                <c:pt idx="181">
                  <c:v>3.4999527035641248E-10</c:v>
                </c:pt>
                <c:pt idx="182">
                  <c:v>6.3543715821441318E-10</c:v>
                </c:pt>
                <c:pt idx="183">
                  <c:v>1.0319084351437613E-9</c:v>
                </c:pt>
                <c:pt idx="184">
                  <c:v>1.4150436155176095E-9</c:v>
                </c:pt>
                <c:pt idx="185">
                  <c:v>1.6578243227387172E-9</c:v>
                </c:pt>
                <c:pt idx="186">
                  <c:v>1.673615473518618E-9</c:v>
                </c:pt>
                <c:pt idx="187">
                  <c:v>1.4493190894454776E-9</c:v>
                </c:pt>
                <c:pt idx="188">
                  <c:v>1.0556629114658734E-9</c:v>
                </c:pt>
                <c:pt idx="189">
                  <c:v>6.281791787864834E-10</c:v>
                </c:pt>
                <c:pt idx="190">
                  <c:v>3.2244071901832131E-10</c:v>
                </c:pt>
                <c:pt idx="191">
                  <c:v>2.5741202010480797E-10</c:v>
                </c:pt>
                <c:pt idx="192">
                  <c:v>4.6733236767559569E-10</c:v>
                </c:pt>
                <c:pt idx="193">
                  <c:v>8.8201983391480543E-10</c:v>
                </c:pt>
                <c:pt idx="194">
                  <c:v>1.3467787245904993E-9</c:v>
                </c:pt>
                <c:pt idx="195">
                  <c:v>1.6789825176586785E-9</c:v>
                </c:pt>
                <c:pt idx="196">
                  <c:v>1.7386513095204363E-9</c:v>
                </c:pt>
                <c:pt idx="197">
                  <c:v>1.493370383223199E-9</c:v>
                </c:pt>
                <c:pt idx="198">
                  <c:v>1.038043441760143E-9</c:v>
                </c:pt>
                <c:pt idx="199">
                  <c:v>5.6362803197860233E-10</c:v>
                </c:pt>
                <c:pt idx="200">
                  <c:v>2.7980761188987101E-10</c:v>
                </c:pt>
                <c:pt idx="201">
                  <c:v>3.2190790944478508E-10</c:v>
                </c:pt>
                <c:pt idx="202">
                  <c:v>6.8334772512431886E-10</c:v>
                </c:pt>
                <c:pt idx="203">
                  <c:v>1.2084026777564089E-9</c:v>
                </c:pt>
                <c:pt idx="204">
                  <c:v>1.6555936664882451E-9</c:v>
                </c:pt>
                <c:pt idx="205">
                  <c:v>1.8086633800127899E-9</c:v>
                </c:pt>
                <c:pt idx="206">
                  <c:v>1.5852473490561806E-9</c:v>
                </c:pt>
                <c:pt idx="207">
                  <c:v>1.0879064791068776E-9</c:v>
                </c:pt>
                <c:pt idx="208">
                  <c:v>5.6470870705830115E-10</c:v>
                </c:pt>
                <c:pt idx="209">
                  <c:v>2.8994483191219026E-10</c:v>
                </c:pt>
                <c:pt idx="210">
                  <c:v>4.1997489714007727E-10</c:v>
                </c:pt>
                <c:pt idx="211">
                  <c:v>9.0016517981055231E-10</c:v>
                </c:pt>
                <c:pt idx="212">
                  <c:v>1.4803504768224686E-9</c:v>
                </c:pt>
                <c:pt idx="213">
                  <c:v>1.8420106327769599E-9</c:v>
                </c:pt>
                <c:pt idx="214">
                  <c:v>1.7760538589866811E-9</c:v>
                </c:pt>
                <c:pt idx="215">
                  <c:v>1.3123523378533912E-9</c:v>
                </c:pt>
                <c:pt idx="216">
                  <c:v>7.1833128069488605E-10</c:v>
                </c:pt>
                <c:pt idx="217">
                  <c:v>3.5322342823015089E-10</c:v>
                </c:pt>
                <c:pt idx="218">
                  <c:v>4.5273565054165672E-10</c:v>
                </c:pt>
                <c:pt idx="219">
                  <c:v>9.726837993484908E-10</c:v>
                </c:pt>
                <c:pt idx="220">
                  <c:v>1.598568976738333E-9</c:v>
                </c:pt>
                <c:pt idx="221">
                  <c:v>1.9325350496535384E-9</c:v>
                </c:pt>
                <c:pt idx="222">
                  <c:v>1.7518138541558389E-9</c:v>
                </c:pt>
                <c:pt idx="223">
                  <c:v>1.1706952201797227E-9</c:v>
                </c:pt>
                <c:pt idx="224">
                  <c:v>5.8385992223624768E-10</c:v>
                </c:pt>
                <c:pt idx="225">
                  <c:v>4.0801261857276872E-10</c:v>
                </c:pt>
                <c:pt idx="226">
                  <c:v>7.8599576008603424E-10</c:v>
                </c:pt>
                <c:pt idx="227">
                  <c:v>1.4655574370743189E-9</c:v>
                </c:pt>
                <c:pt idx="228">
                  <c:v>1.9609571742222659E-9</c:v>
                </c:pt>
                <c:pt idx="229">
                  <c:v>1.9041262860020495E-9</c:v>
                </c:pt>
                <c:pt idx="230">
                  <c:v>1.3341960034828251E-9</c:v>
                </c:pt>
                <c:pt idx="231">
                  <c:v>6.9209231615875339E-10</c:v>
                </c:pt>
                <c:pt idx="232">
                  <c:v>4.9471251816179447E-10</c:v>
                </c:pt>
                <c:pt idx="233">
                  <c:v>9.2130734194331923E-10</c:v>
                </c:pt>
                <c:pt idx="234">
                  <c:v>1.6455536410722273E-9</c:v>
                </c:pt>
                <c:pt idx="235">
                  <c:v>2.0790984369516211E-9</c:v>
                </c:pt>
                <c:pt idx="236">
                  <c:v>1.8582540782008386E-9</c:v>
                </c:pt>
                <c:pt idx="237">
                  <c:v>1.1729933816277912E-9</c:v>
                </c:pt>
                <c:pt idx="238">
                  <c:v>6.3086837087097475E-10</c:v>
                </c:pt>
                <c:pt idx="239">
                  <c:v>7.340418207626439E-10</c:v>
                </c:pt>
                <c:pt idx="240">
                  <c:v>1.4134272629830149E-9</c:v>
                </c:pt>
                <c:pt idx="241">
                  <c:v>2.0613718106619152E-9</c:v>
                </c:pt>
                <c:pt idx="242">
                  <c:v>2.0785396009001289E-9</c:v>
                </c:pt>
                <c:pt idx="243">
                  <c:v>1.4528420055373269E-9</c:v>
                </c:pt>
                <c:pt idx="244">
                  <c:v>8.025643445780442E-10</c:v>
                </c:pt>
                <c:pt idx="245">
                  <c:v>7.9150658088312331E-10</c:v>
                </c:pt>
                <c:pt idx="246">
                  <c:v>1.4563290309510386E-9</c:v>
                </c:pt>
                <c:pt idx="247">
                  <c:v>2.1367985605409543E-9</c:v>
                </c:pt>
                <c:pt idx="248">
                  <c:v>2.1359627528433488E-9</c:v>
                </c:pt>
                <c:pt idx="249">
                  <c:v>1.4645964091361137E-9</c:v>
                </c:pt>
                <c:pt idx="250">
                  <c:v>8.6341549054607856E-10</c:v>
                </c:pt>
                <c:pt idx="251">
                  <c:v>1.0166816115007126E-9</c:v>
                </c:pt>
                <c:pt idx="252">
                  <c:v>1.7784118378038872E-9</c:v>
                </c:pt>
                <c:pt idx="253">
                  <c:v>2.3023533827939218E-9</c:v>
                </c:pt>
                <c:pt idx="254">
                  <c:v>1.9977989049871107E-9</c:v>
                </c:pt>
                <c:pt idx="255">
                  <c:v>1.2408740303895982E-9</c:v>
                </c:pt>
                <c:pt idx="256">
                  <c:v>9.6133727609554992E-10</c:v>
                </c:pt>
                <c:pt idx="257">
                  <c:v>1.5250438540294273E-9</c:v>
                </c:pt>
                <c:pt idx="258">
                  <c:v>2.2556101036329167E-9</c:v>
                </c:pt>
                <c:pt idx="259">
                  <c:v>2.25203930655612E-9</c:v>
                </c:pt>
                <c:pt idx="260">
                  <c:v>1.5415873142786346E-9</c:v>
                </c:pt>
                <c:pt idx="261">
                  <c:v>1.0770416566652083E-9</c:v>
                </c:pt>
                <c:pt idx="262">
                  <c:v>1.499336335055673E-9</c:v>
                </c:pt>
                <c:pt idx="263">
                  <c:v>2.2594876007255401E-9</c:v>
                </c:pt>
                <c:pt idx="264">
                  <c:v>2.3366203289456857E-9</c:v>
                </c:pt>
                <c:pt idx="265">
                  <c:v>1.6516836667836013E-9</c:v>
                </c:pt>
                <c:pt idx="266">
                  <c:v>1.2066719140530187E-9</c:v>
                </c:pt>
                <c:pt idx="267">
                  <c:v>1.666295187594304E-9</c:v>
                </c:pt>
                <c:pt idx="268">
                  <c:v>2.3735475111892105E-9</c:v>
                </c:pt>
                <c:pt idx="269">
                  <c:v>2.2981040510918042E-9</c:v>
                </c:pt>
                <c:pt idx="270">
                  <c:v>1.589464181752407E-9</c:v>
                </c:pt>
                <c:pt idx="271">
                  <c:v>1.3710012025063658E-9</c:v>
                </c:pt>
                <c:pt idx="272">
                  <c:v>2.0011363509028925E-9</c:v>
                </c:pt>
                <c:pt idx="273">
                  <c:v>2.4906749461096848E-9</c:v>
                </c:pt>
                <c:pt idx="274">
                  <c:v>2.0785181278340236E-9</c:v>
                </c:pt>
                <c:pt idx="275">
                  <c:v>1.4822512014450261E-9</c:v>
                </c:pt>
                <c:pt idx="276">
                  <c:v>1.7208010798272389E-9</c:v>
                </c:pt>
                <c:pt idx="277">
                  <c:v>2.3948519230156546E-9</c:v>
                </c:pt>
                <c:pt idx="278">
                  <c:v>2.3610590451119646E-9</c:v>
                </c:pt>
                <c:pt idx="279">
                  <c:v>1.7202329504961827E-9</c:v>
                </c:pt>
                <c:pt idx="280">
                  <c:v>1.6437530112946183E-9</c:v>
                </c:pt>
                <c:pt idx="281">
                  <c:v>2.2714917829318834E-9</c:v>
                </c:pt>
                <c:pt idx="282">
                  <c:v>2.4569114510482707E-9</c:v>
                </c:pt>
                <c:pt idx="283">
                  <c:v>1.8916010532961368E-9</c:v>
                </c:pt>
                <c:pt idx="284">
                  <c:v>1.6806987517903413E-9</c:v>
                </c:pt>
                <c:pt idx="285">
                  <c:v>2.2273818178783513E-9</c:v>
                </c:pt>
                <c:pt idx="286">
                  <c:v>2.4592961293119349E-9</c:v>
                </c:pt>
                <c:pt idx="287">
                  <c:v>1.9485180587290418E-9</c:v>
                </c:pt>
                <c:pt idx="288">
                  <c:v>1.7546027858164542E-9</c:v>
                </c:pt>
                <c:pt idx="289">
                  <c:v>2.2623463810728807E-9</c:v>
                </c:pt>
                <c:pt idx="290">
                  <c:v>2.4058524562171679E-9</c:v>
                </c:pt>
                <c:pt idx="291">
                  <c:v>1.9110180414125158E-9</c:v>
                </c:pt>
                <c:pt idx="292">
                  <c:v>1.8546408173975666E-9</c:v>
                </c:pt>
                <c:pt idx="293">
                  <c:v>2.3318858148403367E-9</c:v>
                </c:pt>
                <c:pt idx="294">
                  <c:v>2.2772787791532112E-9</c:v>
                </c:pt>
                <c:pt idx="295">
                  <c:v>1.8364438999850199E-9</c:v>
                </c:pt>
                <c:pt idx="296">
                  <c:v>2.0027576506045659E-9</c:v>
                </c:pt>
                <c:pt idx="297">
                  <c:v>2.3498836490130909E-9</c:v>
                </c:pt>
                <c:pt idx="298">
                  <c:v>2.0584854256740072E-9</c:v>
                </c:pt>
                <c:pt idx="299">
                  <c:v>1.826077842282272E-9</c:v>
                </c:pt>
                <c:pt idx="300">
                  <c:v>2.1677795919031054E-9</c:v>
                </c:pt>
                <c:pt idx="301">
                  <c:v>2.2035013425327098E-9</c:v>
                </c:pt>
                <c:pt idx="302">
                  <c:v>1.8394618888515862E-9</c:v>
                </c:pt>
                <c:pt idx="303">
                  <c:v>1.9545435756807188E-9</c:v>
                </c:pt>
                <c:pt idx="304">
                  <c:v>2.1845718212267257E-9</c:v>
                </c:pt>
                <c:pt idx="305">
                  <c:v>1.9020792969951559E-9</c:v>
                </c:pt>
                <c:pt idx="306">
                  <c:v>1.8124339853131857E-9</c:v>
                </c:pt>
                <c:pt idx="307">
                  <c:v>2.0693119100634015E-9</c:v>
                </c:pt>
                <c:pt idx="308">
                  <c:v>1.9174365070748105E-9</c:v>
                </c:pt>
                <c:pt idx="309">
                  <c:v>1.7263309969526417E-9</c:v>
                </c:pt>
                <c:pt idx="310">
                  <c:v>1.9303557220533393E-9</c:v>
                </c:pt>
                <c:pt idx="311">
                  <c:v>1.8676461909923306E-9</c:v>
                </c:pt>
                <c:pt idx="312">
                  <c:v>1.6536713560923264E-9</c:v>
                </c:pt>
                <c:pt idx="313">
                  <c:v>1.7968037731470865E-9</c:v>
                </c:pt>
                <c:pt idx="314">
                  <c:v>1.7650606653540466E-9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5.6066516988620784E-10</c:v>
                  </c:pt>
                  <c:pt idx="1">
                    <c:v>4.8818433912187309E-10</c:v>
                  </c:pt>
                  <c:pt idx="2">
                    <c:v>4.5614797276025546E-10</c:v>
                  </c:pt>
                  <c:pt idx="3">
                    <c:v>4.0383227261008893E-10</c:v>
                  </c:pt>
                  <c:pt idx="4">
                    <c:v>4.2719324941879095E-10</c:v>
                  </c:pt>
                  <c:pt idx="5">
                    <c:v>4.3069041059926837E-10</c:v>
                  </c:pt>
                  <c:pt idx="6">
                    <c:v>4.1419826287266657E-10</c:v>
                  </c:pt>
                  <c:pt idx="7">
                    <c:v>4.0057174146012814E-10</c:v>
                  </c:pt>
                  <c:pt idx="8">
                    <c:v>4.2368152702160832E-10</c:v>
                  </c:pt>
                  <c:pt idx="9">
                    <c:v>4.2474816457687142E-10</c:v>
                  </c:pt>
                  <c:pt idx="10">
                    <c:v>4.288640322802518E-10</c:v>
                  </c:pt>
                  <c:pt idx="11">
                    <c:v>3.3372488730846526E-10</c:v>
                  </c:pt>
                  <c:pt idx="12">
                    <c:v>3.1608495551999697E-10</c:v>
                  </c:pt>
                  <c:pt idx="13">
                    <c:v>3.2239532135728715E-10</c:v>
                  </c:pt>
                  <c:pt idx="14">
                    <c:v>3.2651005362798057E-10</c:v>
                  </c:pt>
                  <c:pt idx="15">
                    <c:v>3.3479384524219632E-10</c:v>
                  </c:pt>
                  <c:pt idx="16">
                    <c:v>4.9043150679957083E-10</c:v>
                  </c:pt>
                  <c:pt idx="17">
                    <c:v>4.6590180671956714E-10</c:v>
                  </c:pt>
                  <c:pt idx="18">
                    <c:v>3.9531855701874433E-10</c:v>
                  </c:pt>
                  <c:pt idx="19">
                    <c:v>3.8403731322970598E-10</c:v>
                  </c:pt>
                  <c:pt idx="20">
                    <c:v>3.0396329629816945E-10</c:v>
                  </c:pt>
                  <c:pt idx="21">
                    <c:v>3.0225033688311726E-10</c:v>
                  </c:pt>
                  <c:pt idx="22">
                    <c:v>3.00265213889901E-10</c:v>
                  </c:pt>
                  <c:pt idx="23">
                    <c:v>2.9267806439456224E-10</c:v>
                  </c:pt>
                  <c:pt idx="24">
                    <c:v>2.8757379493187508E-10</c:v>
                  </c:pt>
                  <c:pt idx="25">
                    <c:v>2.7123249890672668E-10</c:v>
                  </c:pt>
                  <c:pt idx="26">
                    <c:v>2.9354080981939022E-10</c:v>
                  </c:pt>
                  <c:pt idx="27">
                    <c:v>2.8220552515968103E-10</c:v>
                  </c:pt>
                  <c:pt idx="28">
                    <c:v>2.6706486641690948E-10</c:v>
                  </c:pt>
                  <c:pt idx="29">
                    <c:v>2.6285907010104068E-10</c:v>
                  </c:pt>
                  <c:pt idx="30">
                    <c:v>2.4660403376472429E-10</c:v>
                  </c:pt>
                  <c:pt idx="31">
                    <c:v>2.4657360831863858E-10</c:v>
                  </c:pt>
                  <c:pt idx="32">
                    <c:v>1.5474520912060474E-10</c:v>
                  </c:pt>
                  <c:pt idx="33">
                    <c:v>1.3596792291962782E-10</c:v>
                  </c:pt>
                  <c:pt idx="34">
                    <c:v>1.3076051554398601E-10</c:v>
                  </c:pt>
                  <c:pt idx="35">
                    <c:v>1.3195662228494082E-10</c:v>
                  </c:pt>
                  <c:pt idx="36">
                    <c:v>1.0913163670677666E-10</c:v>
                  </c:pt>
                  <c:pt idx="37">
                    <c:v>1.2116682246923221E-10</c:v>
                  </c:pt>
                  <c:pt idx="38">
                    <c:v>1.1981960653424657E-10</c:v>
                  </c:pt>
                  <c:pt idx="39">
                    <c:v>1.2099435059827092E-10</c:v>
                  </c:pt>
                  <c:pt idx="40">
                    <c:v>1.0549253120548407E-10</c:v>
                  </c:pt>
                  <c:pt idx="41">
                    <c:v>1.047886832236666E-10</c:v>
                  </c:pt>
                  <c:pt idx="42">
                    <c:v>1.0377647791034785E-10</c:v>
                  </c:pt>
                  <c:pt idx="43">
                    <c:v>8.2877146958559289E-11</c:v>
                  </c:pt>
                  <c:pt idx="44">
                    <c:v>8.2245087152730681E-11</c:v>
                  </c:pt>
                  <c:pt idx="45">
                    <c:v>9.3122366242288161E-11</c:v>
                  </c:pt>
                  <c:pt idx="46">
                    <c:v>8.7697590569938541E-11</c:v>
                  </c:pt>
                  <c:pt idx="47">
                    <c:v>8.1944146492724057E-11</c:v>
                  </c:pt>
                  <c:pt idx="48">
                    <c:v>8.2166984236254366E-11</c:v>
                  </c:pt>
                  <c:pt idx="49">
                    <c:v>8.9419996421067189E-11</c:v>
                  </c:pt>
                  <c:pt idx="50">
                    <c:v>9.4172764991023626E-11</c:v>
                  </c:pt>
                  <c:pt idx="51">
                    <c:v>9.9073112603754644E-11</c:v>
                  </c:pt>
                  <c:pt idx="52">
                    <c:v>1.0726743006445801E-10</c:v>
                  </c:pt>
                  <c:pt idx="53">
                    <c:v>1.1155811564443248E-10</c:v>
                  </c:pt>
                  <c:pt idx="54">
                    <c:v>1.1739158510034306E-10</c:v>
                  </c:pt>
                  <c:pt idx="55">
                    <c:v>1.1615956886086794E-10</c:v>
                  </c:pt>
                  <c:pt idx="56">
                    <c:v>1.2299449694264054E-10</c:v>
                  </c:pt>
                  <c:pt idx="57">
                    <c:v>1.2339436829029944E-10</c:v>
                  </c:pt>
                  <c:pt idx="58">
                    <c:v>1.2261881803935404E-10</c:v>
                  </c:pt>
                  <c:pt idx="59">
                    <c:v>8.9678736863796436E-11</c:v>
                  </c:pt>
                  <c:pt idx="60">
                    <c:v>8.642292318032899E-11</c:v>
                  </c:pt>
                  <c:pt idx="61">
                    <c:v>8.7959053995613405E-11</c:v>
                  </c:pt>
                  <c:pt idx="62">
                    <c:v>8.4534815773067851E-11</c:v>
                  </c:pt>
                  <c:pt idx="63">
                    <c:v>8.2289606614084036E-11</c:v>
                  </c:pt>
                  <c:pt idx="64">
                    <c:v>8.2994965936209744E-11</c:v>
                  </c:pt>
                  <c:pt idx="65">
                    <c:v>7.964408074422228E-11</c:v>
                  </c:pt>
                  <c:pt idx="66">
                    <c:v>1.2197887639251558E-10</c:v>
                  </c:pt>
                  <c:pt idx="67">
                    <c:v>1.0255706734196143E-10</c:v>
                  </c:pt>
                  <c:pt idx="68">
                    <c:v>8.8990499571353687E-11</c:v>
                  </c:pt>
                  <c:pt idx="69">
                    <c:v>9.3751821595968856E-11</c:v>
                  </c:pt>
                  <c:pt idx="70">
                    <c:v>7.8508020573284545E-11</c:v>
                  </c:pt>
                  <c:pt idx="71">
                    <c:v>9.162990746532813E-11</c:v>
                  </c:pt>
                  <c:pt idx="72">
                    <c:v>8.2761083131299276E-11</c:v>
                  </c:pt>
                  <c:pt idx="73">
                    <c:v>8.2076271049749306E-11</c:v>
                  </c:pt>
                  <c:pt idx="74">
                    <c:v>8.533338462261884E-11</c:v>
                  </c:pt>
                  <c:pt idx="75">
                    <c:v>7.6444663894747833E-11</c:v>
                  </c:pt>
                  <c:pt idx="76">
                    <c:v>7.2901487860099364E-11</c:v>
                  </c:pt>
                  <c:pt idx="77">
                    <c:v>7.5056378441181549E-11</c:v>
                  </c:pt>
                  <c:pt idx="78">
                    <c:v>7.808700497461399E-11</c:v>
                  </c:pt>
                  <c:pt idx="79">
                    <c:v>8.0714882107202606E-11</c:v>
                  </c:pt>
                  <c:pt idx="80">
                    <c:v>9.809482292849505E-11</c:v>
                  </c:pt>
                  <c:pt idx="81">
                    <c:v>1.0267425401847691E-10</c:v>
                  </c:pt>
                  <c:pt idx="82">
                    <c:v>1.0156299284467763E-10</c:v>
                  </c:pt>
                  <c:pt idx="83">
                    <c:v>1.073972147906014E-10</c:v>
                  </c:pt>
                  <c:pt idx="84">
                    <c:v>1.0654823776198164E-10</c:v>
                  </c:pt>
                  <c:pt idx="85">
                    <c:v>1.176876717104848E-10</c:v>
                  </c:pt>
                  <c:pt idx="86">
                    <c:v>1.1268776937433483E-10</c:v>
                  </c:pt>
                  <c:pt idx="87">
                    <c:v>1.2771995340293321E-10</c:v>
                  </c:pt>
                  <c:pt idx="88">
                    <c:v>1.1195169827957019E-10</c:v>
                  </c:pt>
                  <c:pt idx="89">
                    <c:v>1.2196284693020985E-10</c:v>
                  </c:pt>
                  <c:pt idx="90">
                    <c:v>1.1542512997442116E-10</c:v>
                  </c:pt>
                  <c:pt idx="91">
                    <c:v>1.180842542509209E-10</c:v>
                  </c:pt>
                  <c:pt idx="92">
                    <c:v>1.1977311521933357E-10</c:v>
                  </c:pt>
                  <c:pt idx="93">
                    <c:v>1.1090432068216493E-10</c:v>
                  </c:pt>
                  <c:pt idx="94">
                    <c:v>8.9851470760297438E-11</c:v>
                  </c:pt>
                  <c:pt idx="95">
                    <c:v>1.0002288492726506E-10</c:v>
                  </c:pt>
                  <c:pt idx="96">
                    <c:v>9.2492818307579569E-11</c:v>
                  </c:pt>
                  <c:pt idx="97">
                    <c:v>7.6945260642700641E-11</c:v>
                  </c:pt>
                  <c:pt idx="98">
                    <c:v>3.5442072715109178E-11</c:v>
                  </c:pt>
                  <c:pt idx="99">
                    <c:v>3.18525177718631E-11</c:v>
                  </c:pt>
                  <c:pt idx="100">
                    <c:v>3.130160825186285E-11</c:v>
                  </c:pt>
                  <c:pt idx="101">
                    <c:v>2.8705122494222533E-11</c:v>
                  </c:pt>
                  <c:pt idx="102">
                    <c:v>3.4062812444648739E-11</c:v>
                  </c:pt>
                  <c:pt idx="103">
                    <c:v>3.6167411885303002E-11</c:v>
                  </c:pt>
                  <c:pt idx="104">
                    <c:v>3.9827775490496527E-11</c:v>
                  </c:pt>
                  <c:pt idx="105">
                    <c:v>4.4955568540314932E-11</c:v>
                  </c:pt>
                  <c:pt idx="106">
                    <c:v>4.8910403172762599E-11</c:v>
                  </c:pt>
                  <c:pt idx="107">
                    <c:v>5.6940720222411975E-11</c:v>
                  </c:pt>
                  <c:pt idx="108">
                    <c:v>6.0145397709818178E-11</c:v>
                  </c:pt>
                  <c:pt idx="109">
                    <c:v>6.4087865623614718E-11</c:v>
                  </c:pt>
                  <c:pt idx="110">
                    <c:v>6.5377030743132176E-11</c:v>
                  </c:pt>
                  <c:pt idx="111">
                    <c:v>6.6207546059726875E-11</c:v>
                  </c:pt>
                  <c:pt idx="112">
                    <c:v>6.1836943016136603E-11</c:v>
                  </c:pt>
                  <c:pt idx="113">
                    <c:v>6.2329225052462255E-11</c:v>
                  </c:pt>
                  <c:pt idx="114">
                    <c:v>6.5061048980936716E-11</c:v>
                  </c:pt>
                  <c:pt idx="115">
                    <c:v>5.7513829735169963E-11</c:v>
                  </c:pt>
                  <c:pt idx="116">
                    <c:v>5.1316089250112625E-11</c:v>
                  </c:pt>
                  <c:pt idx="117">
                    <c:v>5.0084435393787187E-11</c:v>
                  </c:pt>
                  <c:pt idx="118">
                    <c:v>4.9596477678292022E-11</c:v>
                  </c:pt>
                  <c:pt idx="119">
                    <c:v>4.2178281316631904E-11</c:v>
                  </c:pt>
                  <c:pt idx="120">
                    <c:v>4.3146868382407803E-11</c:v>
                  </c:pt>
                  <c:pt idx="121">
                    <c:v>4.2040438415608076E-11</c:v>
                  </c:pt>
                  <c:pt idx="122">
                    <c:v>4.4196614104110112E-11</c:v>
                  </c:pt>
                  <c:pt idx="123">
                    <c:v>4.6708135708669537E-11</c:v>
                  </c:pt>
                  <c:pt idx="124">
                    <c:v>5.376586131648983E-11</c:v>
                  </c:pt>
                  <c:pt idx="125">
                    <c:v>5.8260301266590114E-11</c:v>
                  </c:pt>
                  <c:pt idx="126">
                    <c:v>6.6616574597937546E-11</c:v>
                  </c:pt>
                  <c:pt idx="127">
                    <c:v>6.7333817904478057E-11</c:v>
                  </c:pt>
                  <c:pt idx="128">
                    <c:v>7.3034617315894229E-11</c:v>
                  </c:pt>
                  <c:pt idx="129">
                    <c:v>8.3364088086984237E-11</c:v>
                  </c:pt>
                  <c:pt idx="130">
                    <c:v>9.0202733256465194E-11</c:v>
                  </c:pt>
                  <c:pt idx="131">
                    <c:v>8.6739294239790853E-11</c:v>
                  </c:pt>
                  <c:pt idx="132">
                    <c:v>8.8125660048706901E-11</c:v>
                  </c:pt>
                  <c:pt idx="133">
                    <c:v>8.2367565914921811E-11</c:v>
                  </c:pt>
                  <c:pt idx="134">
                    <c:v>8.0348987273475426E-11</c:v>
                  </c:pt>
                  <c:pt idx="135">
                    <c:v>7.8973305847417755E-11</c:v>
                  </c:pt>
                  <c:pt idx="136">
                    <c:v>7.3411282213282419E-11</c:v>
                  </c:pt>
                  <c:pt idx="137">
                    <c:v>7.3613198222305542E-11</c:v>
                  </c:pt>
                  <c:pt idx="138">
                    <c:v>7.2287571474085892E-11</c:v>
                  </c:pt>
                  <c:pt idx="139">
                    <c:v>6.3337086245264269E-11</c:v>
                  </c:pt>
                  <c:pt idx="140">
                    <c:v>6.7902651401528725E-11</c:v>
                  </c:pt>
                  <c:pt idx="141">
                    <c:v>7.1693125796507244E-11</c:v>
                  </c:pt>
                  <c:pt idx="142">
                    <c:v>8.3841407302428382E-11</c:v>
                  </c:pt>
                  <c:pt idx="143">
                    <c:v>8.8824266000751536E-11</c:v>
                  </c:pt>
                  <c:pt idx="144">
                    <c:v>9.7945170013852521E-11</c:v>
                  </c:pt>
                  <c:pt idx="145">
                    <c:v>1.0370541778363601E-10</c:v>
                  </c:pt>
                  <c:pt idx="146">
                    <c:v>1.220722018905946E-10</c:v>
                  </c:pt>
                  <c:pt idx="147">
                    <c:v>1.1814328440171535E-10</c:v>
                  </c:pt>
                  <c:pt idx="148">
                    <c:v>1.0706758555779964E-10</c:v>
                  </c:pt>
                  <c:pt idx="149">
                    <c:v>1.1081960772432363E-10</c:v>
                  </c:pt>
                  <c:pt idx="150">
                    <c:v>1.1857724855509744E-10</c:v>
                  </c:pt>
                  <c:pt idx="151">
                    <c:v>1.0168637680776688E-10</c:v>
                  </c:pt>
                  <c:pt idx="152">
                    <c:v>9.7008101233756503E-11</c:v>
                  </c:pt>
                  <c:pt idx="153">
                    <c:v>7.8231412503672781E-11</c:v>
                  </c:pt>
                  <c:pt idx="154">
                    <c:v>8.0611569424178245E-11</c:v>
                  </c:pt>
                  <c:pt idx="155">
                    <c:v>7.8807278432125811E-11</c:v>
                  </c:pt>
                  <c:pt idx="156">
                    <c:v>8.8314936454188133E-11</c:v>
                  </c:pt>
                  <c:pt idx="157">
                    <c:v>9.4916034262491775E-11</c:v>
                  </c:pt>
                  <c:pt idx="158">
                    <c:v>1.0795528538870603E-10</c:v>
                  </c:pt>
                  <c:pt idx="159">
                    <c:v>1.2915451170691867E-10</c:v>
                  </c:pt>
                  <c:pt idx="160">
                    <c:v>1.3724274972480516E-10</c:v>
                  </c:pt>
                  <c:pt idx="161">
                    <c:v>1.4333432336051675E-10</c:v>
                  </c:pt>
                  <c:pt idx="162">
                    <c:v>1.4137325453541103E-10</c:v>
                  </c:pt>
                  <c:pt idx="163">
                    <c:v>1.5516675377684266E-10</c:v>
                  </c:pt>
                  <c:pt idx="164">
                    <c:v>1.3742360226524748E-10</c:v>
                  </c:pt>
                  <c:pt idx="165">
                    <c:v>1.2672339885044534E-10</c:v>
                  </c:pt>
                  <c:pt idx="166">
                    <c:v>5.9608598934318125E-11</c:v>
                  </c:pt>
                  <c:pt idx="167">
                    <c:v>5.8121728004372908E-11</c:v>
                  </c:pt>
                  <c:pt idx="168">
                    <c:v>4.7852029071754464E-11</c:v>
                  </c:pt>
                  <c:pt idx="169">
                    <c:v>4.3663488270587721E-11</c:v>
                  </c:pt>
                  <c:pt idx="170">
                    <c:v>5.0850554811034216E-11</c:v>
                  </c:pt>
                  <c:pt idx="171">
                    <c:v>6.5970604000925647E-11</c:v>
                  </c:pt>
                  <c:pt idx="172">
                    <c:v>6.6260903842025361E-11</c:v>
                  </c:pt>
                  <c:pt idx="173">
                    <c:v>7.8766866691547462E-11</c:v>
                  </c:pt>
                  <c:pt idx="174">
                    <c:v>7.8007792045576646E-11</c:v>
                  </c:pt>
                  <c:pt idx="175">
                    <c:v>8.2073708154831786E-11</c:v>
                  </c:pt>
                  <c:pt idx="176">
                    <c:v>8.2678667292576399E-11</c:v>
                  </c:pt>
                  <c:pt idx="177">
                    <c:v>7.7792773208993103E-11</c:v>
                  </c:pt>
                  <c:pt idx="178">
                    <c:v>6.6432271183901905E-11</c:v>
                  </c:pt>
                  <c:pt idx="179">
                    <c:v>5.7749209088045424E-11</c:v>
                  </c:pt>
                  <c:pt idx="180">
                    <c:v>5.6666600696785042E-11</c:v>
                  </c:pt>
                  <c:pt idx="181">
                    <c:v>5.8308656156431179E-11</c:v>
                  </c:pt>
                  <c:pt idx="182">
                    <c:v>7.1353777815676476E-11</c:v>
                  </c:pt>
                  <c:pt idx="183">
                    <c:v>7.6812819019239713E-11</c:v>
                  </c:pt>
                  <c:pt idx="184">
                    <c:v>8.4529193226587398E-11</c:v>
                  </c:pt>
                  <c:pt idx="185">
                    <c:v>9.184680268608048E-11</c:v>
                  </c:pt>
                  <c:pt idx="186">
                    <c:v>1.0338238481524511E-10</c:v>
                  </c:pt>
                  <c:pt idx="187">
                    <c:v>9.264024570107041E-11</c:v>
                  </c:pt>
                  <c:pt idx="188">
                    <c:v>8.69073177974936E-11</c:v>
                  </c:pt>
                  <c:pt idx="189">
                    <c:v>8.4221485706296714E-11</c:v>
                  </c:pt>
                  <c:pt idx="190">
                    <c:v>8.0581067180789108E-11</c:v>
                  </c:pt>
                  <c:pt idx="191">
                    <c:v>7.3205505296738063E-11</c:v>
                  </c:pt>
                  <c:pt idx="192">
                    <c:v>8.4541678036049215E-11</c:v>
                  </c:pt>
                  <c:pt idx="193">
                    <c:v>9.5220934820083666E-11</c:v>
                  </c:pt>
                  <c:pt idx="194">
                    <c:v>9.9450897495361851E-11</c:v>
                  </c:pt>
                  <c:pt idx="195">
                    <c:v>1.0561223040707064E-10</c:v>
                  </c:pt>
                  <c:pt idx="196">
                    <c:v>1.1884734471818889E-10</c:v>
                  </c:pt>
                  <c:pt idx="197">
                    <c:v>1.1869595120378596E-10</c:v>
                  </c:pt>
                  <c:pt idx="198">
                    <c:v>1.1632899299006537E-10</c:v>
                  </c:pt>
                  <c:pt idx="199">
                    <c:v>1.1356666162905955E-10</c:v>
                  </c:pt>
                  <c:pt idx="200">
                    <c:v>9.2219337232373857E-11</c:v>
                  </c:pt>
                  <c:pt idx="201">
                    <c:v>9.2950436549214044E-11</c:v>
                  </c:pt>
                  <c:pt idx="202">
                    <c:v>1.0652986540516086E-10</c:v>
                  </c:pt>
                  <c:pt idx="203">
                    <c:v>1.3188258380528764E-10</c:v>
                  </c:pt>
                  <c:pt idx="204">
                    <c:v>1.3234375251620731E-10</c:v>
                  </c:pt>
                  <c:pt idx="205">
                    <c:v>1.4290102945934581E-10</c:v>
                  </c:pt>
                  <c:pt idx="206">
                    <c:v>1.4771124379187386E-10</c:v>
                  </c:pt>
                  <c:pt idx="207">
                    <c:v>1.3500187566825254E-10</c:v>
                  </c:pt>
                  <c:pt idx="208">
                    <c:v>1.3182837734854885E-10</c:v>
                  </c:pt>
                  <c:pt idx="209">
                    <c:v>1.2963822361785206E-10</c:v>
                  </c:pt>
                  <c:pt idx="210">
                    <c:v>1.4118961385277656E-10</c:v>
                  </c:pt>
                  <c:pt idx="211">
                    <c:v>1.3496382836688413E-10</c:v>
                  </c:pt>
                  <c:pt idx="212">
                    <c:v>1.5877865148088917E-10</c:v>
                  </c:pt>
                  <c:pt idx="213">
                    <c:v>1.6443742801532258E-10</c:v>
                  </c:pt>
                  <c:pt idx="214">
                    <c:v>1.6579646563355731E-10</c:v>
                  </c:pt>
                  <c:pt idx="215">
                    <c:v>1.7406366719789704E-10</c:v>
                  </c:pt>
                  <c:pt idx="216">
                    <c:v>1.4017601479105879E-10</c:v>
                  </c:pt>
                  <c:pt idx="217">
                    <c:v>1.3748966105589537E-10</c:v>
                  </c:pt>
                  <c:pt idx="218">
                    <c:v>1.5748422566214672E-10</c:v>
                  </c:pt>
                  <c:pt idx="219">
                    <c:v>1.6840204194778144E-10</c:v>
                  </c:pt>
                  <c:pt idx="220">
                    <c:v>1.5941754810865574E-10</c:v>
                  </c:pt>
                  <c:pt idx="221">
                    <c:v>1.7929192635240745E-10</c:v>
                  </c:pt>
                  <c:pt idx="222">
                    <c:v>2.0181627189819591E-10</c:v>
                  </c:pt>
                  <c:pt idx="223">
                    <c:v>1.8120987745977414E-10</c:v>
                  </c:pt>
                  <c:pt idx="224">
                    <c:v>1.9332185582936419E-10</c:v>
                  </c:pt>
                  <c:pt idx="225">
                    <c:v>1.6677946615435659E-10</c:v>
                  </c:pt>
                  <c:pt idx="226">
                    <c:v>1.7574977783329498E-10</c:v>
                  </c:pt>
                  <c:pt idx="227">
                    <c:v>1.9057152236515356E-10</c:v>
                  </c:pt>
                  <c:pt idx="228">
                    <c:v>2.1652994138113317E-10</c:v>
                  </c:pt>
                  <c:pt idx="229">
                    <c:v>2.2528834764513115E-10</c:v>
                  </c:pt>
                  <c:pt idx="230">
                    <c:v>2.047913039894125E-10</c:v>
                  </c:pt>
                  <c:pt idx="231">
                    <c:v>2.0770507398511304E-10</c:v>
                  </c:pt>
                  <c:pt idx="232">
                    <c:v>2.0531444426621031E-10</c:v>
                  </c:pt>
                  <c:pt idx="233">
                    <c:v>2.3762254985536441E-10</c:v>
                  </c:pt>
                  <c:pt idx="234">
                    <c:v>2.327806169519556E-10</c:v>
                  </c:pt>
                  <c:pt idx="235">
                    <c:v>1.3404121687530809E-10</c:v>
                  </c:pt>
                  <c:pt idx="236">
                    <c:v>1.5842875929199972E-10</c:v>
                  </c:pt>
                  <c:pt idx="237">
                    <c:v>1.3504510731357764E-10</c:v>
                  </c:pt>
                  <c:pt idx="238">
                    <c:v>1.3038794641143616E-10</c:v>
                  </c:pt>
                  <c:pt idx="239">
                    <c:v>1.1867133247193669E-10</c:v>
                  </c:pt>
                  <c:pt idx="240">
                    <c:v>1.3669309400212928E-10</c:v>
                  </c:pt>
                  <c:pt idx="241">
                    <c:v>1.4599597652524492E-10</c:v>
                  </c:pt>
                  <c:pt idx="242">
                    <c:v>1.5397039635100839E-10</c:v>
                  </c:pt>
                  <c:pt idx="243">
                    <c:v>1.6238537569170677E-10</c:v>
                  </c:pt>
                  <c:pt idx="244">
                    <c:v>1.5416735427857228E-10</c:v>
                  </c:pt>
                  <c:pt idx="245">
                    <c:v>1.4103069826366662E-10</c:v>
                  </c:pt>
                  <c:pt idx="246">
                    <c:v>1.5342239929360871E-10</c:v>
                  </c:pt>
                  <c:pt idx="247">
                    <c:v>1.6862562550649736E-10</c:v>
                  </c:pt>
                  <c:pt idx="248">
                    <c:v>1.6054360951285604E-10</c:v>
                  </c:pt>
                  <c:pt idx="249">
                    <c:v>1.816472840213365E-10</c:v>
                  </c:pt>
                  <c:pt idx="250">
                    <c:v>1.8421187337309464E-10</c:v>
                  </c:pt>
                  <c:pt idx="251">
                    <c:v>1.853479315685311E-10</c:v>
                  </c:pt>
                  <c:pt idx="252">
                    <c:v>1.8607987148386039E-10</c:v>
                  </c:pt>
                  <c:pt idx="253">
                    <c:v>2.0677533519969674E-10</c:v>
                  </c:pt>
                  <c:pt idx="254">
                    <c:v>2.2477707981952345E-10</c:v>
                  </c:pt>
                  <c:pt idx="255">
                    <c:v>1.8093821156315421E-10</c:v>
                  </c:pt>
                  <c:pt idx="256">
                    <c:v>2.0086755789068635E-10</c:v>
                  </c:pt>
                  <c:pt idx="257">
                    <c:v>2.0958379559757496E-10</c:v>
                  </c:pt>
                  <c:pt idx="258">
                    <c:v>2.3789863658320854E-10</c:v>
                  </c:pt>
                  <c:pt idx="259">
                    <c:v>2.1639491137352272E-10</c:v>
                  </c:pt>
                  <c:pt idx="260">
                    <c:v>2.2246832985917396E-10</c:v>
                  </c:pt>
                  <c:pt idx="261">
                    <c:v>2.1277273466217317E-10</c:v>
                  </c:pt>
                  <c:pt idx="262">
                    <c:v>2.5410791756339124E-10</c:v>
                  </c:pt>
                  <c:pt idx="263">
                    <c:v>2.4602073439259038E-10</c:v>
                  </c:pt>
                  <c:pt idx="264">
                    <c:v>2.4176018532391219E-10</c:v>
                  </c:pt>
                  <c:pt idx="265">
                    <c:v>2.5291605905757019E-10</c:v>
                  </c:pt>
                  <c:pt idx="266">
                    <c:v>2.7691887124816834E-10</c:v>
                  </c:pt>
                  <c:pt idx="267">
                    <c:v>2.7529358308317859E-10</c:v>
                  </c:pt>
                  <c:pt idx="268">
                    <c:v>2.6339797766801163E-10</c:v>
                  </c:pt>
                  <c:pt idx="269">
                    <c:v>2.6949656724033639E-10</c:v>
                  </c:pt>
                  <c:pt idx="270">
                    <c:v>2.7440444508624775E-10</c:v>
                  </c:pt>
                  <c:pt idx="271">
                    <c:v>2.7419724446518314E-10</c:v>
                  </c:pt>
                  <c:pt idx="272">
                    <c:v>3.3354174876425126E-10</c:v>
                  </c:pt>
                  <c:pt idx="273">
                    <c:v>2.8204506497017529E-10</c:v>
                  </c:pt>
                  <c:pt idx="274">
                    <c:v>2.9318327328542956E-10</c:v>
                  </c:pt>
                  <c:pt idx="275">
                    <c:v>3.4990477403227848E-10</c:v>
                  </c:pt>
                  <c:pt idx="276">
                    <c:v>3.3129334768042543E-10</c:v>
                  </c:pt>
                  <c:pt idx="277">
                    <c:v>3.3532494310126516E-10</c:v>
                  </c:pt>
                  <c:pt idx="278">
                    <c:v>3.6205866084331696E-10</c:v>
                  </c:pt>
                  <c:pt idx="279">
                    <c:v>3.7803268473333533E-10</c:v>
                  </c:pt>
                  <c:pt idx="280">
                    <c:v>3.5332422504919039E-10</c:v>
                  </c:pt>
                  <c:pt idx="281">
                    <c:v>3.5999098935024097E-10</c:v>
                  </c:pt>
                  <c:pt idx="282">
                    <c:v>3.7282017122013798E-10</c:v>
                  </c:pt>
                  <c:pt idx="283">
                    <c:v>4.0226463419113413E-10</c:v>
                  </c:pt>
                  <c:pt idx="284">
                    <c:v>3.3264661956605254E-10</c:v>
                  </c:pt>
                  <c:pt idx="285">
                    <c:v>3.7252802568452313E-10</c:v>
                  </c:pt>
                  <c:pt idx="286">
                    <c:v>4.3708573628763397E-10</c:v>
                  </c:pt>
                  <c:pt idx="287">
                    <c:v>4.645484024868551E-10</c:v>
                  </c:pt>
                  <c:pt idx="288">
                    <c:v>4.3097642369371027E-10</c:v>
                  </c:pt>
                  <c:pt idx="289">
                    <c:v>4.0864481262564003E-10</c:v>
                  </c:pt>
                  <c:pt idx="290">
                    <c:v>3.8964451318353398E-10</c:v>
                  </c:pt>
                  <c:pt idx="291">
                    <c:v>5.0676790012903971E-10</c:v>
                  </c:pt>
                  <c:pt idx="292">
                    <c:v>4.4458890660332423E-10</c:v>
                  </c:pt>
                  <c:pt idx="293">
                    <c:v>4.7640305978890311E-10</c:v>
                  </c:pt>
                  <c:pt idx="294">
                    <c:v>4.3441815462865447E-10</c:v>
                  </c:pt>
                  <c:pt idx="295">
                    <c:v>4.9924748875828568E-10</c:v>
                  </c:pt>
                  <c:pt idx="296">
                    <c:v>5.1721078877659328E-10</c:v>
                  </c:pt>
                  <c:pt idx="297">
                    <c:v>4.8929105139243334E-10</c:v>
                  </c:pt>
                  <c:pt idx="298">
                    <c:v>5.2780431815540739E-10</c:v>
                  </c:pt>
                  <c:pt idx="299">
                    <c:v>5.039617890487151E-10</c:v>
                  </c:pt>
                  <c:pt idx="300">
                    <c:v>4.9087208313999109E-10</c:v>
                  </c:pt>
                  <c:pt idx="301">
                    <c:v>5.9155507003101145E-10</c:v>
                  </c:pt>
                  <c:pt idx="302">
                    <c:v>5.8249974852312653E-10</c:v>
                  </c:pt>
                  <c:pt idx="303">
                    <c:v>5.4136655638888052E-10</c:v>
                  </c:pt>
                  <c:pt idx="304">
                    <c:v>5.1373020882195599E-10</c:v>
                  </c:pt>
                  <c:pt idx="305">
                    <c:v>6.3486862342102727E-10</c:v>
                  </c:pt>
                  <c:pt idx="306">
                    <c:v>7.3048040281320876E-10</c:v>
                  </c:pt>
                  <c:pt idx="307">
                    <c:v>6.218780858735817E-10</c:v>
                  </c:pt>
                  <c:pt idx="308">
                    <c:v>6.5481178153764718E-10</c:v>
                  </c:pt>
                  <c:pt idx="309">
                    <c:v>8.0447716543654496E-10</c:v>
                  </c:pt>
                  <c:pt idx="310">
                    <c:v>7.2626272914997999E-10</c:v>
                  </c:pt>
                  <c:pt idx="311">
                    <c:v>8.5551105260425057E-10</c:v>
                  </c:pt>
                  <c:pt idx="312">
                    <c:v>8.3857181287111716E-10</c:v>
                  </c:pt>
                  <c:pt idx="313">
                    <c:v>7.1996704588629799E-10</c:v>
                  </c:pt>
                  <c:pt idx="314">
                    <c:v>7.1105385260469189E-10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5.6066516988620784E-10</c:v>
                  </c:pt>
                  <c:pt idx="1">
                    <c:v>4.8818433912187309E-10</c:v>
                  </c:pt>
                  <c:pt idx="2">
                    <c:v>4.5614797276025546E-10</c:v>
                  </c:pt>
                  <c:pt idx="3">
                    <c:v>4.0383227261008893E-10</c:v>
                  </c:pt>
                  <c:pt idx="4">
                    <c:v>4.2719324941879095E-10</c:v>
                  </c:pt>
                  <c:pt idx="5">
                    <c:v>4.3069041059926837E-10</c:v>
                  </c:pt>
                  <c:pt idx="6">
                    <c:v>4.1419826287266657E-10</c:v>
                  </c:pt>
                  <c:pt idx="7">
                    <c:v>4.0057174146012814E-10</c:v>
                  </c:pt>
                  <c:pt idx="8">
                    <c:v>4.2368152702160832E-10</c:v>
                  </c:pt>
                  <c:pt idx="9">
                    <c:v>4.2474816457687142E-10</c:v>
                  </c:pt>
                  <c:pt idx="10">
                    <c:v>4.288640322802518E-10</c:v>
                  </c:pt>
                  <c:pt idx="11">
                    <c:v>3.3372488730846526E-10</c:v>
                  </c:pt>
                  <c:pt idx="12">
                    <c:v>3.1608495551999697E-10</c:v>
                  </c:pt>
                  <c:pt idx="13">
                    <c:v>3.2239532135728715E-10</c:v>
                  </c:pt>
                  <c:pt idx="14">
                    <c:v>3.2651005362798057E-10</c:v>
                  </c:pt>
                  <c:pt idx="15">
                    <c:v>3.3479384524219632E-10</c:v>
                  </c:pt>
                  <c:pt idx="16">
                    <c:v>4.9043150679957083E-10</c:v>
                  </c:pt>
                  <c:pt idx="17">
                    <c:v>4.6590180671956714E-10</c:v>
                  </c:pt>
                  <c:pt idx="18">
                    <c:v>3.9531855701874433E-10</c:v>
                  </c:pt>
                  <c:pt idx="19">
                    <c:v>3.8403731322970598E-10</c:v>
                  </c:pt>
                  <c:pt idx="20">
                    <c:v>3.0396329629816945E-10</c:v>
                  </c:pt>
                  <c:pt idx="21">
                    <c:v>3.0225033688311726E-10</c:v>
                  </c:pt>
                  <c:pt idx="22">
                    <c:v>3.00265213889901E-10</c:v>
                  </c:pt>
                  <c:pt idx="23">
                    <c:v>2.9267806439456224E-10</c:v>
                  </c:pt>
                  <c:pt idx="24">
                    <c:v>2.8757379493187508E-10</c:v>
                  </c:pt>
                  <c:pt idx="25">
                    <c:v>2.7123249890672668E-10</c:v>
                  </c:pt>
                  <c:pt idx="26">
                    <c:v>2.9354080981939022E-10</c:v>
                  </c:pt>
                  <c:pt idx="27">
                    <c:v>2.8220552515968103E-10</c:v>
                  </c:pt>
                  <c:pt idx="28">
                    <c:v>2.6706486641690948E-10</c:v>
                  </c:pt>
                  <c:pt idx="29">
                    <c:v>2.6285907010104068E-10</c:v>
                  </c:pt>
                  <c:pt idx="30">
                    <c:v>2.4660403376472429E-10</c:v>
                  </c:pt>
                  <c:pt idx="31">
                    <c:v>2.4657360831863858E-10</c:v>
                  </c:pt>
                  <c:pt idx="32">
                    <c:v>1.5474520912060474E-10</c:v>
                  </c:pt>
                  <c:pt idx="33">
                    <c:v>1.3596792291962782E-10</c:v>
                  </c:pt>
                  <c:pt idx="34">
                    <c:v>1.3076051554398601E-10</c:v>
                  </c:pt>
                  <c:pt idx="35">
                    <c:v>1.3195662228494082E-10</c:v>
                  </c:pt>
                  <c:pt idx="36">
                    <c:v>1.0913163670677666E-10</c:v>
                  </c:pt>
                  <c:pt idx="37">
                    <c:v>1.2116682246923221E-10</c:v>
                  </c:pt>
                  <c:pt idx="38">
                    <c:v>1.1981960653424657E-10</c:v>
                  </c:pt>
                  <c:pt idx="39">
                    <c:v>1.2099435059827092E-10</c:v>
                  </c:pt>
                  <c:pt idx="40">
                    <c:v>1.0549253120548407E-10</c:v>
                  </c:pt>
                  <c:pt idx="41">
                    <c:v>1.047886832236666E-10</c:v>
                  </c:pt>
                  <c:pt idx="42">
                    <c:v>1.0377647791034785E-10</c:v>
                  </c:pt>
                  <c:pt idx="43">
                    <c:v>8.2877146958559289E-11</c:v>
                  </c:pt>
                  <c:pt idx="44">
                    <c:v>8.2245087152730681E-11</c:v>
                  </c:pt>
                  <c:pt idx="45">
                    <c:v>9.3122366242288161E-11</c:v>
                  </c:pt>
                  <c:pt idx="46">
                    <c:v>8.7697590569938541E-11</c:v>
                  </c:pt>
                  <c:pt idx="47">
                    <c:v>8.1944146492724057E-11</c:v>
                  </c:pt>
                  <c:pt idx="48">
                    <c:v>8.2166984236254366E-11</c:v>
                  </c:pt>
                  <c:pt idx="49">
                    <c:v>8.9419996421067189E-11</c:v>
                  </c:pt>
                  <c:pt idx="50">
                    <c:v>9.4172764991023626E-11</c:v>
                  </c:pt>
                  <c:pt idx="51">
                    <c:v>9.9073112603754644E-11</c:v>
                  </c:pt>
                  <c:pt idx="52">
                    <c:v>1.0726743006445801E-10</c:v>
                  </c:pt>
                  <c:pt idx="53">
                    <c:v>1.1155811564443248E-10</c:v>
                  </c:pt>
                  <c:pt idx="54">
                    <c:v>1.1739158510034306E-10</c:v>
                  </c:pt>
                  <c:pt idx="55">
                    <c:v>1.1615956886086794E-10</c:v>
                  </c:pt>
                  <c:pt idx="56">
                    <c:v>1.2299449694264054E-10</c:v>
                  </c:pt>
                  <c:pt idx="57">
                    <c:v>1.2339436829029944E-10</c:v>
                  </c:pt>
                  <c:pt idx="58">
                    <c:v>1.2261881803935404E-10</c:v>
                  </c:pt>
                  <c:pt idx="59">
                    <c:v>8.9678736863796436E-11</c:v>
                  </c:pt>
                  <c:pt idx="60">
                    <c:v>8.642292318032899E-11</c:v>
                  </c:pt>
                  <c:pt idx="61">
                    <c:v>8.7959053995613405E-11</c:v>
                  </c:pt>
                  <c:pt idx="62">
                    <c:v>8.4534815773067851E-11</c:v>
                  </c:pt>
                  <c:pt idx="63">
                    <c:v>8.2289606614084036E-11</c:v>
                  </c:pt>
                  <c:pt idx="64">
                    <c:v>8.2994965936209744E-11</c:v>
                  </c:pt>
                  <c:pt idx="65">
                    <c:v>7.964408074422228E-11</c:v>
                  </c:pt>
                  <c:pt idx="66">
                    <c:v>1.2197887639251558E-10</c:v>
                  </c:pt>
                  <c:pt idx="67">
                    <c:v>1.0255706734196143E-10</c:v>
                  </c:pt>
                  <c:pt idx="68">
                    <c:v>8.8990499571353687E-11</c:v>
                  </c:pt>
                  <c:pt idx="69">
                    <c:v>9.3751821595968856E-11</c:v>
                  </c:pt>
                  <c:pt idx="70">
                    <c:v>7.8508020573284545E-11</c:v>
                  </c:pt>
                  <c:pt idx="71">
                    <c:v>9.162990746532813E-11</c:v>
                  </c:pt>
                  <c:pt idx="72">
                    <c:v>8.2761083131299276E-11</c:v>
                  </c:pt>
                  <c:pt idx="73">
                    <c:v>8.2076271049749306E-11</c:v>
                  </c:pt>
                  <c:pt idx="74">
                    <c:v>8.533338462261884E-11</c:v>
                  </c:pt>
                  <c:pt idx="75">
                    <c:v>7.6444663894747833E-11</c:v>
                  </c:pt>
                  <c:pt idx="76">
                    <c:v>7.2901487860099364E-11</c:v>
                  </c:pt>
                  <c:pt idx="77">
                    <c:v>7.5056378441181549E-11</c:v>
                  </c:pt>
                  <c:pt idx="78">
                    <c:v>7.808700497461399E-11</c:v>
                  </c:pt>
                  <c:pt idx="79">
                    <c:v>8.0714882107202606E-11</c:v>
                  </c:pt>
                  <c:pt idx="80">
                    <c:v>9.809482292849505E-11</c:v>
                  </c:pt>
                  <c:pt idx="81">
                    <c:v>1.0267425401847691E-10</c:v>
                  </c:pt>
                  <c:pt idx="82">
                    <c:v>1.0156299284467763E-10</c:v>
                  </c:pt>
                  <c:pt idx="83">
                    <c:v>1.073972147906014E-10</c:v>
                  </c:pt>
                  <c:pt idx="84">
                    <c:v>1.0654823776198164E-10</c:v>
                  </c:pt>
                  <c:pt idx="85">
                    <c:v>1.176876717104848E-10</c:v>
                  </c:pt>
                  <c:pt idx="86">
                    <c:v>1.1268776937433483E-10</c:v>
                  </c:pt>
                  <c:pt idx="87">
                    <c:v>1.2771995340293321E-10</c:v>
                  </c:pt>
                  <c:pt idx="88">
                    <c:v>1.1195169827957019E-10</c:v>
                  </c:pt>
                  <c:pt idx="89">
                    <c:v>1.2196284693020985E-10</c:v>
                  </c:pt>
                  <c:pt idx="90">
                    <c:v>1.1542512997442116E-10</c:v>
                  </c:pt>
                  <c:pt idx="91">
                    <c:v>1.180842542509209E-10</c:v>
                  </c:pt>
                  <c:pt idx="92">
                    <c:v>1.1977311521933357E-10</c:v>
                  </c:pt>
                  <c:pt idx="93">
                    <c:v>1.1090432068216493E-10</c:v>
                  </c:pt>
                  <c:pt idx="94">
                    <c:v>8.9851470760297438E-11</c:v>
                  </c:pt>
                  <c:pt idx="95">
                    <c:v>1.0002288492726506E-10</c:v>
                  </c:pt>
                  <c:pt idx="96">
                    <c:v>9.2492818307579569E-11</c:v>
                  </c:pt>
                  <c:pt idx="97">
                    <c:v>7.6945260642700641E-11</c:v>
                  </c:pt>
                  <c:pt idx="98">
                    <c:v>3.5442072715109178E-11</c:v>
                  </c:pt>
                  <c:pt idx="99">
                    <c:v>3.18525177718631E-11</c:v>
                  </c:pt>
                  <c:pt idx="100">
                    <c:v>3.130160825186285E-11</c:v>
                  </c:pt>
                  <c:pt idx="101">
                    <c:v>2.8705122494222533E-11</c:v>
                  </c:pt>
                  <c:pt idx="102">
                    <c:v>3.4062812444648739E-11</c:v>
                  </c:pt>
                  <c:pt idx="103">
                    <c:v>3.6167411885303002E-11</c:v>
                  </c:pt>
                  <c:pt idx="104">
                    <c:v>3.9827775490496527E-11</c:v>
                  </c:pt>
                  <c:pt idx="105">
                    <c:v>4.4955568540314932E-11</c:v>
                  </c:pt>
                  <c:pt idx="106">
                    <c:v>4.8910403172762599E-11</c:v>
                  </c:pt>
                  <c:pt idx="107">
                    <c:v>5.6940720222411975E-11</c:v>
                  </c:pt>
                  <c:pt idx="108">
                    <c:v>6.0145397709818178E-11</c:v>
                  </c:pt>
                  <c:pt idx="109">
                    <c:v>6.4087865623614718E-11</c:v>
                  </c:pt>
                  <c:pt idx="110">
                    <c:v>6.5377030743132176E-11</c:v>
                  </c:pt>
                  <c:pt idx="111">
                    <c:v>6.6207546059726875E-11</c:v>
                  </c:pt>
                  <c:pt idx="112">
                    <c:v>6.1836943016136603E-11</c:v>
                  </c:pt>
                  <c:pt idx="113">
                    <c:v>6.2329225052462255E-11</c:v>
                  </c:pt>
                  <c:pt idx="114">
                    <c:v>6.5061048980936716E-11</c:v>
                  </c:pt>
                  <c:pt idx="115">
                    <c:v>5.7513829735169963E-11</c:v>
                  </c:pt>
                  <c:pt idx="116">
                    <c:v>5.1316089250112625E-11</c:v>
                  </c:pt>
                  <c:pt idx="117">
                    <c:v>5.0084435393787187E-11</c:v>
                  </c:pt>
                  <c:pt idx="118">
                    <c:v>4.9596477678292022E-11</c:v>
                  </c:pt>
                  <c:pt idx="119">
                    <c:v>4.2178281316631904E-11</c:v>
                  </c:pt>
                  <c:pt idx="120">
                    <c:v>4.3146868382407803E-11</c:v>
                  </c:pt>
                  <c:pt idx="121">
                    <c:v>4.2040438415608076E-11</c:v>
                  </c:pt>
                  <c:pt idx="122">
                    <c:v>4.4196614104110112E-11</c:v>
                  </c:pt>
                  <c:pt idx="123">
                    <c:v>4.6708135708669537E-11</c:v>
                  </c:pt>
                  <c:pt idx="124">
                    <c:v>5.376586131648983E-11</c:v>
                  </c:pt>
                  <c:pt idx="125">
                    <c:v>5.8260301266590114E-11</c:v>
                  </c:pt>
                  <c:pt idx="126">
                    <c:v>6.6616574597937546E-11</c:v>
                  </c:pt>
                  <c:pt idx="127">
                    <c:v>6.7333817904478057E-11</c:v>
                  </c:pt>
                  <c:pt idx="128">
                    <c:v>7.3034617315894229E-11</c:v>
                  </c:pt>
                  <c:pt idx="129">
                    <c:v>8.3364088086984237E-11</c:v>
                  </c:pt>
                  <c:pt idx="130">
                    <c:v>9.0202733256465194E-11</c:v>
                  </c:pt>
                  <c:pt idx="131">
                    <c:v>8.6739294239790853E-11</c:v>
                  </c:pt>
                  <c:pt idx="132">
                    <c:v>8.8125660048706901E-11</c:v>
                  </c:pt>
                  <c:pt idx="133">
                    <c:v>8.2367565914921811E-11</c:v>
                  </c:pt>
                  <c:pt idx="134">
                    <c:v>8.0348987273475426E-11</c:v>
                  </c:pt>
                  <c:pt idx="135">
                    <c:v>7.8973305847417755E-11</c:v>
                  </c:pt>
                  <c:pt idx="136">
                    <c:v>7.3411282213282419E-11</c:v>
                  </c:pt>
                  <c:pt idx="137">
                    <c:v>7.3613198222305542E-11</c:v>
                  </c:pt>
                  <c:pt idx="138">
                    <c:v>7.2287571474085892E-11</c:v>
                  </c:pt>
                  <c:pt idx="139">
                    <c:v>6.3337086245264269E-11</c:v>
                  </c:pt>
                  <c:pt idx="140">
                    <c:v>6.7902651401528725E-11</c:v>
                  </c:pt>
                  <c:pt idx="141">
                    <c:v>7.1693125796507244E-11</c:v>
                  </c:pt>
                  <c:pt idx="142">
                    <c:v>8.3841407302428382E-11</c:v>
                  </c:pt>
                  <c:pt idx="143">
                    <c:v>8.8824266000751536E-11</c:v>
                  </c:pt>
                  <c:pt idx="144">
                    <c:v>9.7945170013852521E-11</c:v>
                  </c:pt>
                  <c:pt idx="145">
                    <c:v>1.0370541778363601E-10</c:v>
                  </c:pt>
                  <c:pt idx="146">
                    <c:v>1.220722018905946E-10</c:v>
                  </c:pt>
                  <c:pt idx="147">
                    <c:v>1.1814328440171535E-10</c:v>
                  </c:pt>
                  <c:pt idx="148">
                    <c:v>1.0706758555779964E-10</c:v>
                  </c:pt>
                  <c:pt idx="149">
                    <c:v>1.1081960772432363E-10</c:v>
                  </c:pt>
                  <c:pt idx="150">
                    <c:v>1.1857724855509744E-10</c:v>
                  </c:pt>
                  <c:pt idx="151">
                    <c:v>1.0168637680776688E-10</c:v>
                  </c:pt>
                  <c:pt idx="152">
                    <c:v>9.7008101233756503E-11</c:v>
                  </c:pt>
                  <c:pt idx="153">
                    <c:v>7.8231412503672781E-11</c:v>
                  </c:pt>
                  <c:pt idx="154">
                    <c:v>8.0611569424178245E-11</c:v>
                  </c:pt>
                  <c:pt idx="155">
                    <c:v>7.8807278432125811E-11</c:v>
                  </c:pt>
                  <c:pt idx="156">
                    <c:v>8.8314936454188133E-11</c:v>
                  </c:pt>
                  <c:pt idx="157">
                    <c:v>9.4916034262491775E-11</c:v>
                  </c:pt>
                  <c:pt idx="158">
                    <c:v>1.0795528538870603E-10</c:v>
                  </c:pt>
                  <c:pt idx="159">
                    <c:v>1.2915451170691867E-10</c:v>
                  </c:pt>
                  <c:pt idx="160">
                    <c:v>1.3724274972480516E-10</c:v>
                  </c:pt>
                  <c:pt idx="161">
                    <c:v>1.4333432336051675E-10</c:v>
                  </c:pt>
                  <c:pt idx="162">
                    <c:v>1.4137325453541103E-10</c:v>
                  </c:pt>
                  <c:pt idx="163">
                    <c:v>1.5516675377684266E-10</c:v>
                  </c:pt>
                  <c:pt idx="164">
                    <c:v>1.3742360226524748E-10</c:v>
                  </c:pt>
                  <c:pt idx="165">
                    <c:v>1.2672339885044534E-10</c:v>
                  </c:pt>
                  <c:pt idx="166">
                    <c:v>5.9608598934318125E-11</c:v>
                  </c:pt>
                  <c:pt idx="167">
                    <c:v>5.8121728004372908E-11</c:v>
                  </c:pt>
                  <c:pt idx="168">
                    <c:v>4.7852029071754464E-11</c:v>
                  </c:pt>
                  <c:pt idx="169">
                    <c:v>4.3663488270587721E-11</c:v>
                  </c:pt>
                  <c:pt idx="170">
                    <c:v>5.0850554811034216E-11</c:v>
                  </c:pt>
                  <c:pt idx="171">
                    <c:v>6.5970604000925647E-11</c:v>
                  </c:pt>
                  <c:pt idx="172">
                    <c:v>6.6260903842025361E-11</c:v>
                  </c:pt>
                  <c:pt idx="173">
                    <c:v>7.8766866691547462E-11</c:v>
                  </c:pt>
                  <c:pt idx="174">
                    <c:v>7.8007792045576646E-11</c:v>
                  </c:pt>
                  <c:pt idx="175">
                    <c:v>8.2073708154831786E-11</c:v>
                  </c:pt>
                  <c:pt idx="176">
                    <c:v>8.2678667292576399E-11</c:v>
                  </c:pt>
                  <c:pt idx="177">
                    <c:v>7.7792773208993103E-11</c:v>
                  </c:pt>
                  <c:pt idx="178">
                    <c:v>6.6432271183901905E-11</c:v>
                  </c:pt>
                  <c:pt idx="179">
                    <c:v>5.7749209088045424E-11</c:v>
                  </c:pt>
                  <c:pt idx="180">
                    <c:v>5.6666600696785042E-11</c:v>
                  </c:pt>
                  <c:pt idx="181">
                    <c:v>5.8308656156431179E-11</c:v>
                  </c:pt>
                  <c:pt idx="182">
                    <c:v>7.1353777815676476E-11</c:v>
                  </c:pt>
                  <c:pt idx="183">
                    <c:v>7.6812819019239713E-11</c:v>
                  </c:pt>
                  <c:pt idx="184">
                    <c:v>8.4529193226587398E-11</c:v>
                  </c:pt>
                  <c:pt idx="185">
                    <c:v>9.184680268608048E-11</c:v>
                  </c:pt>
                  <c:pt idx="186">
                    <c:v>1.0338238481524511E-10</c:v>
                  </c:pt>
                  <c:pt idx="187">
                    <c:v>9.264024570107041E-11</c:v>
                  </c:pt>
                  <c:pt idx="188">
                    <c:v>8.69073177974936E-11</c:v>
                  </c:pt>
                  <c:pt idx="189">
                    <c:v>8.4221485706296714E-11</c:v>
                  </c:pt>
                  <c:pt idx="190">
                    <c:v>8.0581067180789108E-11</c:v>
                  </c:pt>
                  <c:pt idx="191">
                    <c:v>7.3205505296738063E-11</c:v>
                  </c:pt>
                  <c:pt idx="192">
                    <c:v>8.4541678036049215E-11</c:v>
                  </c:pt>
                  <c:pt idx="193">
                    <c:v>9.5220934820083666E-11</c:v>
                  </c:pt>
                  <c:pt idx="194">
                    <c:v>9.9450897495361851E-11</c:v>
                  </c:pt>
                  <c:pt idx="195">
                    <c:v>1.0561223040707064E-10</c:v>
                  </c:pt>
                  <c:pt idx="196">
                    <c:v>1.1884734471818889E-10</c:v>
                  </c:pt>
                  <c:pt idx="197">
                    <c:v>1.1869595120378596E-10</c:v>
                  </c:pt>
                  <c:pt idx="198">
                    <c:v>1.1632899299006537E-10</c:v>
                  </c:pt>
                  <c:pt idx="199">
                    <c:v>1.1356666162905955E-10</c:v>
                  </c:pt>
                  <c:pt idx="200">
                    <c:v>9.2219337232373857E-11</c:v>
                  </c:pt>
                  <c:pt idx="201">
                    <c:v>9.2950436549214044E-11</c:v>
                  </c:pt>
                  <c:pt idx="202">
                    <c:v>1.0652986540516086E-10</c:v>
                  </c:pt>
                  <c:pt idx="203">
                    <c:v>1.3188258380528764E-10</c:v>
                  </c:pt>
                  <c:pt idx="204">
                    <c:v>1.3234375251620731E-10</c:v>
                  </c:pt>
                  <c:pt idx="205">
                    <c:v>1.4290102945934581E-10</c:v>
                  </c:pt>
                  <c:pt idx="206">
                    <c:v>1.4771124379187386E-10</c:v>
                  </c:pt>
                  <c:pt idx="207">
                    <c:v>1.3500187566825254E-10</c:v>
                  </c:pt>
                  <c:pt idx="208">
                    <c:v>1.3182837734854885E-10</c:v>
                  </c:pt>
                  <c:pt idx="209">
                    <c:v>1.2963822361785206E-10</c:v>
                  </c:pt>
                  <c:pt idx="210">
                    <c:v>1.4118961385277656E-10</c:v>
                  </c:pt>
                  <c:pt idx="211">
                    <c:v>1.3496382836688413E-10</c:v>
                  </c:pt>
                  <c:pt idx="212">
                    <c:v>1.5877865148088917E-10</c:v>
                  </c:pt>
                  <c:pt idx="213">
                    <c:v>1.6443742801532258E-10</c:v>
                  </c:pt>
                  <c:pt idx="214">
                    <c:v>1.6579646563355731E-10</c:v>
                  </c:pt>
                  <c:pt idx="215">
                    <c:v>1.7406366719789704E-10</c:v>
                  </c:pt>
                  <c:pt idx="216">
                    <c:v>1.4017601479105879E-10</c:v>
                  </c:pt>
                  <c:pt idx="217">
                    <c:v>1.3748966105589537E-10</c:v>
                  </c:pt>
                  <c:pt idx="218">
                    <c:v>1.5748422566214672E-10</c:v>
                  </c:pt>
                  <c:pt idx="219">
                    <c:v>1.6840204194778144E-10</c:v>
                  </c:pt>
                  <c:pt idx="220">
                    <c:v>1.5941754810865574E-10</c:v>
                  </c:pt>
                  <c:pt idx="221">
                    <c:v>1.7929192635240745E-10</c:v>
                  </c:pt>
                  <c:pt idx="222">
                    <c:v>2.0181627189819591E-10</c:v>
                  </c:pt>
                  <c:pt idx="223">
                    <c:v>1.8120987745977414E-10</c:v>
                  </c:pt>
                  <c:pt idx="224">
                    <c:v>1.9332185582936419E-10</c:v>
                  </c:pt>
                  <c:pt idx="225">
                    <c:v>1.6677946615435659E-10</c:v>
                  </c:pt>
                  <c:pt idx="226">
                    <c:v>1.7574977783329498E-10</c:v>
                  </c:pt>
                  <c:pt idx="227">
                    <c:v>1.9057152236515356E-10</c:v>
                  </c:pt>
                  <c:pt idx="228">
                    <c:v>2.1652994138113317E-10</c:v>
                  </c:pt>
                  <c:pt idx="229">
                    <c:v>2.2528834764513115E-10</c:v>
                  </c:pt>
                  <c:pt idx="230">
                    <c:v>2.047913039894125E-10</c:v>
                  </c:pt>
                  <c:pt idx="231">
                    <c:v>2.0770507398511304E-10</c:v>
                  </c:pt>
                  <c:pt idx="232">
                    <c:v>2.0531444426621031E-10</c:v>
                  </c:pt>
                  <c:pt idx="233">
                    <c:v>2.3762254985536441E-10</c:v>
                  </c:pt>
                  <c:pt idx="234">
                    <c:v>2.327806169519556E-10</c:v>
                  </c:pt>
                  <c:pt idx="235">
                    <c:v>1.3404121687530809E-10</c:v>
                  </c:pt>
                  <c:pt idx="236">
                    <c:v>1.5842875929199972E-10</c:v>
                  </c:pt>
                  <c:pt idx="237">
                    <c:v>1.3504510731357764E-10</c:v>
                  </c:pt>
                  <c:pt idx="238">
                    <c:v>1.3038794641143616E-10</c:v>
                  </c:pt>
                  <c:pt idx="239">
                    <c:v>1.1867133247193669E-10</c:v>
                  </c:pt>
                  <c:pt idx="240">
                    <c:v>1.3669309400212928E-10</c:v>
                  </c:pt>
                  <c:pt idx="241">
                    <c:v>1.4599597652524492E-10</c:v>
                  </c:pt>
                  <c:pt idx="242">
                    <c:v>1.5397039635100839E-10</c:v>
                  </c:pt>
                  <c:pt idx="243">
                    <c:v>1.6238537569170677E-10</c:v>
                  </c:pt>
                  <c:pt idx="244">
                    <c:v>1.5416735427857228E-10</c:v>
                  </c:pt>
                  <c:pt idx="245">
                    <c:v>1.4103069826366662E-10</c:v>
                  </c:pt>
                  <c:pt idx="246">
                    <c:v>1.5342239929360871E-10</c:v>
                  </c:pt>
                  <c:pt idx="247">
                    <c:v>1.6862562550649736E-10</c:v>
                  </c:pt>
                  <c:pt idx="248">
                    <c:v>1.6054360951285604E-10</c:v>
                  </c:pt>
                  <c:pt idx="249">
                    <c:v>1.816472840213365E-10</c:v>
                  </c:pt>
                  <c:pt idx="250">
                    <c:v>1.8421187337309464E-10</c:v>
                  </c:pt>
                  <c:pt idx="251">
                    <c:v>1.853479315685311E-10</c:v>
                  </c:pt>
                  <c:pt idx="252">
                    <c:v>1.8607987148386039E-10</c:v>
                  </c:pt>
                  <c:pt idx="253">
                    <c:v>2.0677533519969674E-10</c:v>
                  </c:pt>
                  <c:pt idx="254">
                    <c:v>2.2477707981952345E-10</c:v>
                  </c:pt>
                  <c:pt idx="255">
                    <c:v>1.8093821156315421E-10</c:v>
                  </c:pt>
                  <c:pt idx="256">
                    <c:v>2.0086755789068635E-10</c:v>
                  </c:pt>
                  <c:pt idx="257">
                    <c:v>2.0958379559757496E-10</c:v>
                  </c:pt>
                  <c:pt idx="258">
                    <c:v>2.3789863658320854E-10</c:v>
                  </c:pt>
                  <c:pt idx="259">
                    <c:v>2.1639491137352272E-10</c:v>
                  </c:pt>
                  <c:pt idx="260">
                    <c:v>2.2246832985917396E-10</c:v>
                  </c:pt>
                  <c:pt idx="261">
                    <c:v>2.1277273466217317E-10</c:v>
                  </c:pt>
                  <c:pt idx="262">
                    <c:v>2.5410791756339124E-10</c:v>
                  </c:pt>
                  <c:pt idx="263">
                    <c:v>2.4602073439259038E-10</c:v>
                  </c:pt>
                  <c:pt idx="264">
                    <c:v>2.4176018532391219E-10</c:v>
                  </c:pt>
                  <c:pt idx="265">
                    <c:v>2.5291605905757019E-10</c:v>
                  </c:pt>
                  <c:pt idx="266">
                    <c:v>2.7691887124816834E-10</c:v>
                  </c:pt>
                  <c:pt idx="267">
                    <c:v>2.7529358308317859E-10</c:v>
                  </c:pt>
                  <c:pt idx="268">
                    <c:v>2.6339797766801163E-10</c:v>
                  </c:pt>
                  <c:pt idx="269">
                    <c:v>2.6949656724033639E-10</c:v>
                  </c:pt>
                  <c:pt idx="270">
                    <c:v>2.7440444508624775E-10</c:v>
                  </c:pt>
                  <c:pt idx="271">
                    <c:v>2.7419724446518314E-10</c:v>
                  </c:pt>
                  <c:pt idx="272">
                    <c:v>3.3354174876425126E-10</c:v>
                  </c:pt>
                  <c:pt idx="273">
                    <c:v>2.8204506497017529E-10</c:v>
                  </c:pt>
                  <c:pt idx="274">
                    <c:v>2.9318327328542956E-10</c:v>
                  </c:pt>
                  <c:pt idx="275">
                    <c:v>3.4990477403227848E-10</c:v>
                  </c:pt>
                  <c:pt idx="276">
                    <c:v>3.3129334768042543E-10</c:v>
                  </c:pt>
                  <c:pt idx="277">
                    <c:v>3.3532494310126516E-10</c:v>
                  </c:pt>
                  <c:pt idx="278">
                    <c:v>3.6205866084331696E-10</c:v>
                  </c:pt>
                  <c:pt idx="279">
                    <c:v>3.7803268473333533E-10</c:v>
                  </c:pt>
                  <c:pt idx="280">
                    <c:v>3.5332422504919039E-10</c:v>
                  </c:pt>
                  <c:pt idx="281">
                    <c:v>3.5999098935024097E-10</c:v>
                  </c:pt>
                  <c:pt idx="282">
                    <c:v>3.7282017122013798E-10</c:v>
                  </c:pt>
                  <c:pt idx="283">
                    <c:v>4.0226463419113413E-10</c:v>
                  </c:pt>
                  <c:pt idx="284">
                    <c:v>3.3264661956605254E-10</c:v>
                  </c:pt>
                  <c:pt idx="285">
                    <c:v>3.7252802568452313E-10</c:v>
                  </c:pt>
                  <c:pt idx="286">
                    <c:v>4.3708573628763397E-10</c:v>
                  </c:pt>
                  <c:pt idx="287">
                    <c:v>4.645484024868551E-10</c:v>
                  </c:pt>
                  <c:pt idx="288">
                    <c:v>4.3097642369371027E-10</c:v>
                  </c:pt>
                  <c:pt idx="289">
                    <c:v>4.0864481262564003E-10</c:v>
                  </c:pt>
                  <c:pt idx="290">
                    <c:v>3.8964451318353398E-10</c:v>
                  </c:pt>
                  <c:pt idx="291">
                    <c:v>5.0676790012903971E-10</c:v>
                  </c:pt>
                  <c:pt idx="292">
                    <c:v>4.4458890660332423E-10</c:v>
                  </c:pt>
                  <c:pt idx="293">
                    <c:v>4.7640305978890311E-10</c:v>
                  </c:pt>
                  <c:pt idx="294">
                    <c:v>4.3441815462865447E-10</c:v>
                  </c:pt>
                  <c:pt idx="295">
                    <c:v>4.9924748875828568E-10</c:v>
                  </c:pt>
                  <c:pt idx="296">
                    <c:v>5.1721078877659328E-10</c:v>
                  </c:pt>
                  <c:pt idx="297">
                    <c:v>4.8929105139243334E-10</c:v>
                  </c:pt>
                  <c:pt idx="298">
                    <c:v>5.2780431815540739E-10</c:v>
                  </c:pt>
                  <c:pt idx="299">
                    <c:v>5.039617890487151E-10</c:v>
                  </c:pt>
                  <c:pt idx="300">
                    <c:v>4.9087208313999109E-10</c:v>
                  </c:pt>
                  <c:pt idx="301">
                    <c:v>5.9155507003101145E-10</c:v>
                  </c:pt>
                  <c:pt idx="302">
                    <c:v>5.8249974852312653E-10</c:v>
                  </c:pt>
                  <c:pt idx="303">
                    <c:v>5.4136655638888052E-10</c:v>
                  </c:pt>
                  <c:pt idx="304">
                    <c:v>5.1373020882195599E-10</c:v>
                  </c:pt>
                  <c:pt idx="305">
                    <c:v>6.3486862342102727E-10</c:v>
                  </c:pt>
                  <c:pt idx="306">
                    <c:v>7.3048040281320876E-10</c:v>
                  </c:pt>
                  <c:pt idx="307">
                    <c:v>6.218780858735817E-10</c:v>
                  </c:pt>
                  <c:pt idx="308">
                    <c:v>6.5481178153764718E-10</c:v>
                  </c:pt>
                  <c:pt idx="309">
                    <c:v>8.0447716543654496E-10</c:v>
                  </c:pt>
                  <c:pt idx="310">
                    <c:v>7.2626272914997999E-10</c:v>
                  </c:pt>
                  <c:pt idx="311">
                    <c:v>8.5551105260425057E-10</c:v>
                  </c:pt>
                  <c:pt idx="312">
                    <c:v>8.3857181287111716E-10</c:v>
                  </c:pt>
                  <c:pt idx="313">
                    <c:v>7.1996704588629799E-10</c:v>
                  </c:pt>
                  <c:pt idx="314">
                    <c:v>7.1105385260469189E-10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8.4303868303500003E-3</c:v>
                </c:pt>
                <c:pt idx="1">
                  <c:v>8.5146906986500008E-3</c:v>
                </c:pt>
                <c:pt idx="2">
                  <c:v>8.5998376056400008E-3</c:v>
                </c:pt>
                <c:pt idx="3">
                  <c:v>8.6858359817000002E-3</c:v>
                </c:pt>
                <c:pt idx="4">
                  <c:v>8.7726943415100001E-3</c:v>
                </c:pt>
                <c:pt idx="5">
                  <c:v>8.86042128493E-3</c:v>
                </c:pt>
                <c:pt idx="6">
                  <c:v>8.9490254977800006E-3</c:v>
                </c:pt>
                <c:pt idx="7">
                  <c:v>9.0385157527600006E-3</c:v>
                </c:pt>
                <c:pt idx="8">
                  <c:v>9.1289009102799995E-3</c:v>
                </c:pt>
                <c:pt idx="9">
                  <c:v>9.2201899193900001E-3</c:v>
                </c:pt>
                <c:pt idx="10">
                  <c:v>9.3123918185800004E-3</c:v>
                </c:pt>
                <c:pt idx="11">
                  <c:v>9.4055157367700006E-3</c:v>
                </c:pt>
                <c:pt idx="12">
                  <c:v>9.4995708941299998E-3</c:v>
                </c:pt>
                <c:pt idx="13">
                  <c:v>9.5945666030799997E-3</c:v>
                </c:pt>
                <c:pt idx="14">
                  <c:v>9.69051226911E-3</c:v>
                </c:pt>
                <c:pt idx="15">
                  <c:v>9.7874173918000001E-3</c:v>
                </c:pt>
                <c:pt idx="16">
                  <c:v>9.8852915657199995E-3</c:v>
                </c:pt>
                <c:pt idx="17">
                  <c:v>9.9841444813699998E-3</c:v>
                </c:pt>
                <c:pt idx="18">
                  <c:v>1.0083985926200001E-2</c:v>
                </c:pt>
                <c:pt idx="19">
                  <c:v>1.01848257854E-2</c:v>
                </c:pt>
                <c:pt idx="20">
                  <c:v>1.02866740433E-2</c:v>
                </c:pt>
                <c:pt idx="21">
                  <c:v>1.03895407837E-2</c:v>
                </c:pt>
                <c:pt idx="22">
                  <c:v>1.04934361916E-2</c:v>
                </c:pt>
                <c:pt idx="23">
                  <c:v>1.05983705535E-2</c:v>
                </c:pt>
                <c:pt idx="24">
                  <c:v>1.0704354259E-2</c:v>
                </c:pt>
                <c:pt idx="25">
                  <c:v>1.08113978016E-2</c:v>
                </c:pt>
                <c:pt idx="26">
                  <c:v>1.0919511779600001E-2</c:v>
                </c:pt>
                <c:pt idx="27">
                  <c:v>1.1028706897400001E-2</c:v>
                </c:pt>
                <c:pt idx="28">
                  <c:v>1.11389939664E-2</c:v>
                </c:pt>
                <c:pt idx="29">
                  <c:v>1.12503839061E-2</c:v>
                </c:pt>
                <c:pt idx="30">
                  <c:v>1.1362887745099999E-2</c:v>
                </c:pt>
                <c:pt idx="31">
                  <c:v>1.14765166226E-2</c:v>
                </c:pt>
                <c:pt idx="32">
                  <c:v>1.1591281788799999E-2</c:v>
                </c:pt>
                <c:pt idx="33">
                  <c:v>1.17071946067E-2</c:v>
                </c:pt>
                <c:pt idx="34">
                  <c:v>1.18242665528E-2</c:v>
                </c:pt>
                <c:pt idx="35">
                  <c:v>1.19425092183E-2</c:v>
                </c:pt>
                <c:pt idx="36">
                  <c:v>1.2061934310500001E-2</c:v>
                </c:pt>
                <c:pt idx="37">
                  <c:v>1.2182553653599999E-2</c:v>
                </c:pt>
                <c:pt idx="38">
                  <c:v>1.2304379190100001E-2</c:v>
                </c:pt>
                <c:pt idx="39">
                  <c:v>1.2427422981999999E-2</c:v>
                </c:pt>
                <c:pt idx="40">
                  <c:v>1.25516972118E-2</c:v>
                </c:pt>
                <c:pt idx="41">
                  <c:v>1.26772141839E-2</c:v>
                </c:pt>
                <c:pt idx="42">
                  <c:v>1.28039863258E-2</c:v>
                </c:pt>
                <c:pt idx="43">
                  <c:v>1.2932026189000001E-2</c:v>
                </c:pt>
                <c:pt idx="44">
                  <c:v>1.3061346450899999E-2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9.0919248388599994E-2</c:v>
                </c:pt>
                <c:pt idx="240">
                  <c:v>9.18284408725E-2</c:v>
                </c:pt>
                <c:pt idx="241">
                  <c:v>9.2746725281199996E-2</c:v>
                </c:pt>
                <c:pt idx="242">
                  <c:v>9.3674192534E-2</c:v>
                </c:pt>
                <c:pt idx="243">
                  <c:v>9.4610934459399998E-2</c:v>
                </c:pt>
                <c:pt idx="244">
                  <c:v>9.5557043804E-2</c:v>
                </c:pt>
                <c:pt idx="245">
                  <c:v>9.6512614242E-2</c:v>
                </c:pt>
                <c:pt idx="246">
                  <c:v>9.7477740384400005E-2</c:v>
                </c:pt>
                <c:pt idx="247">
                  <c:v>9.8452517788299998E-2</c:v>
                </c:pt>
                <c:pt idx="248">
                  <c:v>9.9437042966199998E-2</c:v>
                </c:pt>
                <c:pt idx="249">
                  <c:v>0.10043141339599999</c:v>
                </c:pt>
                <c:pt idx="250">
                  <c:v>0.10143572753000001</c:v>
                </c:pt>
                <c:pt idx="251">
                  <c:v>0.10245008480499999</c:v>
                </c:pt>
                <c:pt idx="252">
                  <c:v>0.103474585653</c:v>
                </c:pt>
                <c:pt idx="253">
                  <c:v>0.10450933151</c:v>
                </c:pt>
                <c:pt idx="254">
                  <c:v>0.10555442482500001</c:v>
                </c:pt>
                <c:pt idx="255">
                  <c:v>0.10660996907299999</c:v>
                </c:pt>
                <c:pt idx="256">
                  <c:v>0.107676068764</c:v>
                </c:pt>
                <c:pt idx="257">
                  <c:v>0.108752829451</c:v>
                </c:pt>
                <c:pt idx="258">
                  <c:v>0.109840357746</c:v>
                </c:pt>
                <c:pt idx="259">
                  <c:v>0.110938761323</c:v>
                </c:pt>
                <c:pt idx="260">
                  <c:v>0.11204814893700001</c:v>
                </c:pt>
                <c:pt idx="261">
                  <c:v>0.11316863042600001</c:v>
                </c:pt>
                <c:pt idx="262">
                  <c:v>0.11430031673</c:v>
                </c:pt>
                <c:pt idx="263">
                  <c:v>0.115443319898</c:v>
                </c:pt>
                <c:pt idx="264">
                  <c:v>0.116597753096</c:v>
                </c:pt>
                <c:pt idx="265">
                  <c:v>0.117763730627</c:v>
                </c:pt>
                <c:pt idx="266">
                  <c:v>0.11894136793399999</c:v>
                </c:pt>
                <c:pt idx="267">
                  <c:v>0.120130781613</c:v>
                </c:pt>
                <c:pt idx="268">
                  <c:v>0.12133208942900001</c:v>
                </c:pt>
                <c:pt idx="269">
                  <c:v>0.122545410323</c:v>
                </c:pt>
                <c:pt idx="270">
                  <c:v>0.123770864427</c:v>
                </c:pt>
                <c:pt idx="271">
                  <c:v>0.125008573071</c:v>
                </c:pt>
                <c:pt idx="272">
                  <c:v>0.12625865880199999</c:v>
                </c:pt>
                <c:pt idx="273">
                  <c:v>0.12752124539000001</c:v>
                </c:pt>
                <c:pt idx="274">
                  <c:v>0.12879645784400001</c:v>
                </c:pt>
                <c:pt idx="275">
                  <c:v>0.130084422422</c:v>
                </c:pt>
                <c:pt idx="276">
                  <c:v>0.131385266646</c:v>
                </c:pt>
                <c:pt idx="277">
                  <c:v>0.13269911931299999</c:v>
                </c:pt>
                <c:pt idx="278">
                  <c:v>0.134026110506</c:v>
                </c:pt>
                <c:pt idx="279">
                  <c:v>0.13536637161100001</c:v>
                </c:pt>
                <c:pt idx="280">
                  <c:v>0.136720035327</c:v>
                </c:pt>
                <c:pt idx="281">
                  <c:v>0.13808723568</c:v>
                </c:pt>
                <c:pt idx="282">
                  <c:v>0.13946810803699999</c:v>
                </c:pt>
                <c:pt idx="283">
                  <c:v>0.14086278911700001</c:v>
                </c:pt>
                <c:pt idx="284">
                  <c:v>0.14227141700900001</c:v>
                </c:pt>
                <c:pt idx="285">
                  <c:v>0.14369413117900001</c:v>
                </c:pt>
                <c:pt idx="286">
                  <c:v>0.14513107249099999</c:v>
                </c:pt>
                <c:pt idx="287">
                  <c:v>0.146582383215</c:v>
                </c:pt>
                <c:pt idx="288">
                  <c:v>0.14804820704800001</c:v>
                </c:pt>
                <c:pt idx="289">
                  <c:v>0.14952868911799999</c:v>
                </c:pt>
                <c:pt idx="290">
                  <c:v>0.151023976009</c:v>
                </c:pt>
                <c:pt idx="291">
                  <c:v>0.152534215769</c:v>
                </c:pt>
                <c:pt idx="292">
                  <c:v>0.15405955792699999</c:v>
                </c:pt>
                <c:pt idx="293">
                  <c:v>0.15560015350600001</c:v>
                </c:pt>
                <c:pt idx="294">
                  <c:v>0.157156155041</c:v>
                </c:pt>
                <c:pt idx="295">
                  <c:v>0.158727716592</c:v>
                </c:pt>
                <c:pt idx="296">
                  <c:v>0.16031499375800001</c:v>
                </c:pt>
                <c:pt idx="297">
                  <c:v>0.16191814369499999</c:v>
                </c:pt>
                <c:pt idx="298">
                  <c:v>0.16353732513200001</c:v>
                </c:pt>
                <c:pt idx="299">
                  <c:v>0.16517269838400001</c:v>
                </c:pt>
                <c:pt idx="300">
                  <c:v>0.16682442536700001</c:v>
                </c:pt>
                <c:pt idx="301">
                  <c:v>0.16849266962100001</c:v>
                </c:pt>
                <c:pt idx="302">
                  <c:v>0.170177596317</c:v>
                </c:pt>
                <c:pt idx="303">
                  <c:v>0.17187937228</c:v>
                </c:pt>
                <c:pt idx="304">
                  <c:v>0.17359816600299999</c:v>
                </c:pt>
                <c:pt idx="305">
                  <c:v>0.17533414766300001</c:v>
                </c:pt>
                <c:pt idx="306">
                  <c:v>0.17708748914</c:v>
                </c:pt>
                <c:pt idx="307">
                  <c:v>0.178858364031</c:v>
                </c:pt>
                <c:pt idx="308">
                  <c:v>0.18064694767200001</c:v>
                </c:pt>
                <c:pt idx="309">
                  <c:v>0.18245341714800001</c:v>
                </c:pt>
                <c:pt idx="310">
                  <c:v>0.18427795131999999</c:v>
                </c:pt>
                <c:pt idx="311">
                  <c:v>0.18612073083299999</c:v>
                </c:pt>
                <c:pt idx="312">
                  <c:v>0.187981938141</c:v>
                </c:pt>
                <c:pt idx="313">
                  <c:v>0.189861757523</c:v>
                </c:pt>
                <c:pt idx="314">
                  <c:v>0.19176037509800001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5.4282719109045083E-9</c:v>
                </c:pt>
                <c:pt idx="1">
                  <c:v>6.1774587462842703E-9</c:v>
                </c:pt>
                <c:pt idx="2">
                  <c:v>6.3631192594480011E-9</c:v>
                </c:pt>
                <c:pt idx="3">
                  <c:v>5.4921407547243708E-9</c:v>
                </c:pt>
                <c:pt idx="4">
                  <c:v>6.1007990816831822E-9</c:v>
                </c:pt>
                <c:pt idx="5">
                  <c:v>6.4913255189374444E-9</c:v>
                </c:pt>
                <c:pt idx="6">
                  <c:v>6.3933046938602272E-9</c:v>
                </c:pt>
                <c:pt idx="7">
                  <c:v>6.4191219682176598E-9</c:v>
                </c:pt>
                <c:pt idx="8">
                  <c:v>6.9110196266489637E-9</c:v>
                </c:pt>
                <c:pt idx="9">
                  <c:v>7.0805074499386679E-9</c:v>
                </c:pt>
                <c:pt idx="10">
                  <c:v>7.2980613283917899E-9</c:v>
                </c:pt>
                <c:pt idx="11">
                  <c:v>7.8165774213210161E-9</c:v>
                </c:pt>
                <c:pt idx="12">
                  <c:v>7.6139372535398386E-9</c:v>
                </c:pt>
                <c:pt idx="13">
                  <c:v>8.1765309590322146E-9</c:v>
                </c:pt>
                <c:pt idx="14">
                  <c:v>8.454685657184307E-9</c:v>
                </c:pt>
                <c:pt idx="15">
                  <c:v>8.7452601913694292E-9</c:v>
                </c:pt>
                <c:pt idx="16">
                  <c:v>8.3184219957401151E-9</c:v>
                </c:pt>
                <c:pt idx="17">
                  <c:v>7.930587524378332E-9</c:v>
                </c:pt>
                <c:pt idx="18">
                  <c:v>5.7370668269856079E-9</c:v>
                </c:pt>
                <c:pt idx="19">
                  <c:v>5.3470574169230788E-9</c:v>
                </c:pt>
                <c:pt idx="20">
                  <c:v>3.4070449768213638E-9</c:v>
                </c:pt>
                <c:pt idx="21">
                  <c:v>3.345694618335451E-9</c:v>
                </c:pt>
                <c:pt idx="22">
                  <c:v>3.3876265220054742E-9</c:v>
                </c:pt>
                <c:pt idx="23">
                  <c:v>3.3431710081485757E-9</c:v>
                </c:pt>
                <c:pt idx="24">
                  <c:v>3.2181161175105451E-9</c:v>
                </c:pt>
                <c:pt idx="25">
                  <c:v>2.9345896907506742E-9</c:v>
                </c:pt>
                <c:pt idx="26">
                  <c:v>3.5105383837977504E-9</c:v>
                </c:pt>
                <c:pt idx="27">
                  <c:v>3.1931923543179611E-9</c:v>
                </c:pt>
                <c:pt idx="28">
                  <c:v>3.0487564704463255E-9</c:v>
                </c:pt>
                <c:pt idx="29">
                  <c:v>2.7271320419661296E-9</c:v>
                </c:pt>
                <c:pt idx="30">
                  <c:v>2.4914530804015964E-9</c:v>
                </c:pt>
                <c:pt idx="31">
                  <c:v>2.4995034193256615E-9</c:v>
                </c:pt>
                <c:pt idx="32">
                  <c:v>2.6696642307017082E-9</c:v>
                </c:pt>
                <c:pt idx="33">
                  <c:v>2.267838695191951E-9</c:v>
                </c:pt>
                <c:pt idx="34">
                  <c:v>2.0741378292996242E-9</c:v>
                </c:pt>
                <c:pt idx="35">
                  <c:v>2.1113926460373264E-9</c:v>
                </c:pt>
                <c:pt idx="36">
                  <c:v>1.4625106990282853E-9</c:v>
                </c:pt>
                <c:pt idx="37">
                  <c:v>1.1810904478078018E-9</c:v>
                </c:pt>
                <c:pt idx="38">
                  <c:v>1.2075450657325674E-9</c:v>
                </c:pt>
                <c:pt idx="39">
                  <c:v>1.2306745297700539E-9</c:v>
                </c:pt>
                <c:pt idx="40">
                  <c:v>8.1868598383819422E-10</c:v>
                </c:pt>
                <c:pt idx="41">
                  <c:v>9.1897914319723552E-10</c:v>
                </c:pt>
                <c:pt idx="42">
                  <c:v>8.5784613394247268E-10</c:v>
                </c:pt>
                <c:pt idx="43">
                  <c:v>5.7630860905087348E-10</c:v>
                </c:pt>
                <c:pt idx="44">
                  <c:v>5.1758899288583868E-10</c:v>
                </c:pt>
                <c:pt idx="45">
                  <c:v>7.9120650848506572E-10</c:v>
                </c:pt>
                <c:pt idx="46">
                  <c:v>6.8460807502538026E-10</c:v>
                </c:pt>
                <c:pt idx="47">
                  <c:v>5.965776149297873E-10</c:v>
                </c:pt>
                <c:pt idx="48">
                  <c:v>6.135673154947203E-10</c:v>
                </c:pt>
                <c:pt idx="49">
                  <c:v>7.8033764238462537E-10</c:v>
                </c:pt>
                <c:pt idx="50">
                  <c:v>8.2255393604803863E-10</c:v>
                </c:pt>
                <c:pt idx="51">
                  <c:v>9.1783147024028331E-10</c:v>
                </c:pt>
                <c:pt idx="52">
                  <c:v>1.0728137061410218E-9</c:v>
                </c:pt>
                <c:pt idx="53">
                  <c:v>1.2256382005438549E-9</c:v>
                </c:pt>
                <c:pt idx="54">
                  <c:v>1.355205532066875E-9</c:v>
                </c:pt>
                <c:pt idx="55">
                  <c:v>1.3534940138359541E-9</c:v>
                </c:pt>
                <c:pt idx="56">
                  <c:v>1.4808251747210882E-9</c:v>
                </c:pt>
                <c:pt idx="57">
                  <c:v>1.5109062448649231E-9</c:v>
                </c:pt>
                <c:pt idx="58">
                  <c:v>1.5247850953471328E-9</c:v>
                </c:pt>
                <c:pt idx="59">
                  <c:v>1.5002408685818081E-9</c:v>
                </c:pt>
                <c:pt idx="60">
                  <c:v>1.4779955401026377E-9</c:v>
                </c:pt>
                <c:pt idx="61">
                  <c:v>1.4794987210134197E-9</c:v>
                </c:pt>
                <c:pt idx="62">
                  <c:v>1.4350611795792956E-9</c:v>
                </c:pt>
                <c:pt idx="63">
                  <c:v>1.4063033982251567E-9</c:v>
                </c:pt>
                <c:pt idx="64">
                  <c:v>1.4062450965513598E-9</c:v>
                </c:pt>
                <c:pt idx="65">
                  <c:v>1.2165767871428304E-9</c:v>
                </c:pt>
                <c:pt idx="66">
                  <c:v>1.3757391727777813E-9</c:v>
                </c:pt>
                <c:pt idx="67">
                  <c:v>1.0273236239122577E-9</c:v>
                </c:pt>
                <c:pt idx="68">
                  <c:v>7.8387923533468792E-10</c:v>
                </c:pt>
                <c:pt idx="69">
                  <c:v>8.3683334000511413E-10</c:v>
                </c:pt>
                <c:pt idx="70">
                  <c:v>5.5300764764296075E-10</c:v>
                </c:pt>
                <c:pt idx="71">
                  <c:v>7.6433692189483007E-10</c:v>
                </c:pt>
                <c:pt idx="72">
                  <c:v>6.3882429915676733E-10</c:v>
                </c:pt>
                <c:pt idx="73">
                  <c:v>6.1021942278825275E-10</c:v>
                </c:pt>
                <c:pt idx="74">
                  <c:v>6.4361917129297834E-10</c:v>
                </c:pt>
                <c:pt idx="75">
                  <c:v>5.6452010113556105E-10</c:v>
                </c:pt>
                <c:pt idx="76">
                  <c:v>4.8329566770891456E-10</c:v>
                </c:pt>
                <c:pt idx="77">
                  <c:v>4.9783805869487469E-10</c:v>
                </c:pt>
                <c:pt idx="78">
                  <c:v>5.5072720611409418E-10</c:v>
                </c:pt>
                <c:pt idx="79">
                  <c:v>5.999182659729849E-10</c:v>
                </c:pt>
                <c:pt idx="80">
                  <c:v>8.7242603889734828E-10</c:v>
                </c:pt>
                <c:pt idx="81">
                  <c:v>1.0047874089560514E-9</c:v>
                </c:pt>
                <c:pt idx="82">
                  <c:v>9.2399530744270828E-10</c:v>
                </c:pt>
                <c:pt idx="83">
                  <c:v>1.0850717921962083E-9</c:v>
                </c:pt>
                <c:pt idx="84">
                  <c:v>1.0729340140940694E-9</c:v>
                </c:pt>
                <c:pt idx="85">
                  <c:v>1.3056364052495602E-9</c:v>
                </c:pt>
                <c:pt idx="86">
                  <c:v>1.1544429911154351E-9</c:v>
                </c:pt>
                <c:pt idx="87">
                  <c:v>1.4558268047620667E-9</c:v>
                </c:pt>
                <c:pt idx="88">
                  <c:v>1.1272783044890467E-9</c:v>
                </c:pt>
                <c:pt idx="89">
                  <c:v>1.3522013341999927E-9</c:v>
                </c:pt>
                <c:pt idx="90">
                  <c:v>1.2002110408482367E-9</c:v>
                </c:pt>
                <c:pt idx="91">
                  <c:v>1.2275693508237068E-9</c:v>
                </c:pt>
                <c:pt idx="92">
                  <c:v>1.2308664652676212E-9</c:v>
                </c:pt>
                <c:pt idx="93">
                  <c:v>1.0475260438075324E-9</c:v>
                </c:pt>
                <c:pt idx="94">
                  <c:v>6.1843072503714054E-10</c:v>
                </c:pt>
                <c:pt idx="95">
                  <c:v>7.995885407005058E-10</c:v>
                </c:pt>
                <c:pt idx="96">
                  <c:v>6.742615286985255E-10</c:v>
                </c:pt>
                <c:pt idx="97">
                  <c:v>4.3548374910017694E-10</c:v>
                </c:pt>
                <c:pt idx="98">
                  <c:v>5.1754752905429888E-10</c:v>
                </c:pt>
                <c:pt idx="99">
                  <c:v>4.1809110767660071E-10</c:v>
                </c:pt>
                <c:pt idx="100">
                  <c:v>4.3233092633042771E-10</c:v>
                </c:pt>
                <c:pt idx="101">
                  <c:v>4.0877194957707592E-10</c:v>
                </c:pt>
                <c:pt idx="102">
                  <c:v>5.1490859527470315E-10</c:v>
                </c:pt>
                <c:pt idx="103">
                  <c:v>5.6932184427962195E-10</c:v>
                </c:pt>
                <c:pt idx="104">
                  <c:v>6.7341070373760337E-10</c:v>
                </c:pt>
                <c:pt idx="105">
                  <c:v>8.2696172191239817E-10</c:v>
                </c:pt>
                <c:pt idx="106">
                  <c:v>9.3699490629379973E-10</c:v>
                </c:pt>
                <c:pt idx="107">
                  <c:v>1.0965069719206525E-9</c:v>
                </c:pt>
                <c:pt idx="108">
                  <c:v>1.1617660648144991E-9</c:v>
                </c:pt>
                <c:pt idx="109">
                  <c:v>1.2759664274603356E-9</c:v>
                </c:pt>
                <c:pt idx="110">
                  <c:v>1.3509589497081377E-9</c:v>
                </c:pt>
                <c:pt idx="111">
                  <c:v>1.3487073891290408E-9</c:v>
                </c:pt>
                <c:pt idx="112">
                  <c:v>1.2312959479869859E-9</c:v>
                </c:pt>
                <c:pt idx="113">
                  <c:v>1.2294514401062267E-9</c:v>
                </c:pt>
                <c:pt idx="114">
                  <c:v>1.2372312835485116E-9</c:v>
                </c:pt>
                <c:pt idx="115">
                  <c:v>1.0412815161221792E-9</c:v>
                </c:pt>
                <c:pt idx="116">
                  <c:v>7.9422387480316076E-10</c:v>
                </c:pt>
                <c:pt idx="117">
                  <c:v>6.8264725744409505E-10</c:v>
                </c:pt>
                <c:pt idx="118">
                  <c:v>6.5788956958982351E-10</c:v>
                </c:pt>
                <c:pt idx="119">
                  <c:v>4.992035513567499E-10</c:v>
                </c:pt>
                <c:pt idx="120">
                  <c:v>4.5855931893610003E-10</c:v>
                </c:pt>
                <c:pt idx="121">
                  <c:v>4.4388308449051011E-10</c:v>
                </c:pt>
                <c:pt idx="122">
                  <c:v>4.5507044111067315E-10</c:v>
                </c:pt>
                <c:pt idx="123">
                  <c:v>5.3662469294328859E-10</c:v>
                </c:pt>
                <c:pt idx="124">
                  <c:v>6.6404233909210382E-10</c:v>
                </c:pt>
                <c:pt idx="125">
                  <c:v>7.547462570551758E-10</c:v>
                </c:pt>
                <c:pt idx="126">
                  <c:v>9.3355231969234397E-10</c:v>
                </c:pt>
                <c:pt idx="127">
                  <c:v>8.8716652134739704E-10</c:v>
                </c:pt>
                <c:pt idx="128">
                  <c:v>1.0532888802731739E-9</c:v>
                </c:pt>
                <c:pt idx="129">
                  <c:v>1.2384850218528094E-9</c:v>
                </c:pt>
                <c:pt idx="130">
                  <c:v>1.3569793180959825E-9</c:v>
                </c:pt>
                <c:pt idx="131">
                  <c:v>1.3154943084949533E-9</c:v>
                </c:pt>
                <c:pt idx="132">
                  <c:v>1.3184520320589093E-9</c:v>
                </c:pt>
                <c:pt idx="133">
                  <c:v>1.1027436587991662E-9</c:v>
                </c:pt>
                <c:pt idx="134">
                  <c:v>9.4323303259946027E-10</c:v>
                </c:pt>
                <c:pt idx="135">
                  <c:v>8.1692921853610335E-10</c:v>
                </c:pt>
                <c:pt idx="136">
                  <c:v>7.1948688928562414E-10</c:v>
                </c:pt>
                <c:pt idx="137">
                  <c:v>6.8065061550313785E-10</c:v>
                </c:pt>
                <c:pt idx="138">
                  <c:v>6.4604505680651567E-10</c:v>
                </c:pt>
                <c:pt idx="139">
                  <c:v>4.5329965852690947E-10</c:v>
                </c:pt>
                <c:pt idx="140">
                  <c:v>5.1785098655964819E-10</c:v>
                </c:pt>
                <c:pt idx="141">
                  <c:v>5.6198880823737356E-10</c:v>
                </c:pt>
                <c:pt idx="142">
                  <c:v>7.3677201238328228E-10</c:v>
                </c:pt>
                <c:pt idx="143">
                  <c:v>8.1859890729679635E-10</c:v>
                </c:pt>
                <c:pt idx="144">
                  <c:v>1.0018724144955061E-9</c:v>
                </c:pt>
                <c:pt idx="145">
                  <c:v>1.1475384020257153E-9</c:v>
                </c:pt>
                <c:pt idx="146">
                  <c:v>1.4082970351792102E-9</c:v>
                </c:pt>
                <c:pt idx="147">
                  <c:v>1.3446545877688181E-9</c:v>
                </c:pt>
                <c:pt idx="148">
                  <c:v>1.1218636841679213E-9</c:v>
                </c:pt>
                <c:pt idx="149">
                  <c:v>1.0238759764219772E-9</c:v>
                </c:pt>
                <c:pt idx="150">
                  <c:v>1.191591822201234E-9</c:v>
                </c:pt>
                <c:pt idx="151">
                  <c:v>8.467380711640919E-10</c:v>
                </c:pt>
                <c:pt idx="152">
                  <c:v>7.7167304505994919E-10</c:v>
                </c:pt>
                <c:pt idx="153">
                  <c:v>4.3216204315015407E-10</c:v>
                </c:pt>
                <c:pt idx="154">
                  <c:v>4.0444097434967112E-10</c:v>
                </c:pt>
                <c:pt idx="155">
                  <c:v>3.9910765182674045E-10</c:v>
                </c:pt>
                <c:pt idx="156">
                  <c:v>5.0748743963916339E-10</c:v>
                </c:pt>
                <c:pt idx="157">
                  <c:v>6.4268401699170708E-10</c:v>
                </c:pt>
                <c:pt idx="158">
                  <c:v>7.8621269007415023E-10</c:v>
                </c:pt>
                <c:pt idx="159">
                  <c:v>1.0176965721093998E-9</c:v>
                </c:pt>
                <c:pt idx="160">
                  <c:v>1.1215398585620913E-9</c:v>
                </c:pt>
                <c:pt idx="161">
                  <c:v>1.1877432109738247E-9</c:v>
                </c:pt>
                <c:pt idx="162">
                  <c:v>1.0798516534172407E-9</c:v>
                </c:pt>
                <c:pt idx="163">
                  <c:v>1.2259682192426653E-9</c:v>
                </c:pt>
                <c:pt idx="164">
                  <c:v>9.527939001861851E-10</c:v>
                </c:pt>
                <c:pt idx="165">
                  <c:v>6.1625160569052782E-10</c:v>
                </c:pt>
                <c:pt idx="166">
                  <c:v>7.5461673840833408E-10</c:v>
                </c:pt>
                <c:pt idx="167">
                  <c:v>6.5921002825579473E-10</c:v>
                </c:pt>
                <c:pt idx="168">
                  <c:v>5.101618168406745E-10</c:v>
                </c:pt>
                <c:pt idx="169">
                  <c:v>4.1994445891745489E-10</c:v>
                </c:pt>
                <c:pt idx="170">
                  <c:v>5.7137006591167364E-10</c:v>
                </c:pt>
                <c:pt idx="171">
                  <c:v>9.6138830161100104E-10</c:v>
                </c:pt>
                <c:pt idx="172">
                  <c:v>9.7548452443511528E-10</c:v>
                </c:pt>
                <c:pt idx="173">
                  <c:v>1.2736188246179309E-9</c:v>
                </c:pt>
                <c:pt idx="174">
                  <c:v>1.2280376022439742E-9</c:v>
                </c:pt>
                <c:pt idx="175">
                  <c:v>1.3927077075923882E-9</c:v>
                </c:pt>
                <c:pt idx="176">
                  <c:v>1.3548344403355511E-9</c:v>
                </c:pt>
                <c:pt idx="177">
                  <c:v>1.1633822043393378E-9</c:v>
                </c:pt>
                <c:pt idx="178">
                  <c:v>8.3059881113379804E-10</c:v>
                </c:pt>
                <c:pt idx="179">
                  <c:v>6.2910379006277997E-10</c:v>
                </c:pt>
                <c:pt idx="180">
                  <c:v>5.9553269068145279E-10</c:v>
                </c:pt>
                <c:pt idx="181">
                  <c:v>5.8866058165273221E-10</c:v>
                </c:pt>
                <c:pt idx="182">
                  <c:v>7.7607034852465885E-10</c:v>
                </c:pt>
                <c:pt idx="183">
                  <c:v>1.0011672854871618E-9</c:v>
                </c:pt>
                <c:pt idx="184">
                  <c:v>1.0749625010283668E-9</c:v>
                </c:pt>
                <c:pt idx="185">
                  <c:v>1.1901160171413971E-9</c:v>
                </c:pt>
                <c:pt idx="186">
                  <c:v>1.4861276937226821E-9</c:v>
                </c:pt>
                <c:pt idx="187">
                  <c:v>1.192792771068983E-9</c:v>
                </c:pt>
                <c:pt idx="188">
                  <c:v>9.9820584034966836E-10</c:v>
                </c:pt>
                <c:pt idx="189">
                  <c:v>8.4033653735238905E-10</c:v>
                </c:pt>
                <c:pt idx="190">
                  <c:v>7.2440636586919686E-10</c:v>
                </c:pt>
                <c:pt idx="191">
                  <c:v>6.863154496369721E-10</c:v>
                </c:pt>
                <c:pt idx="192">
                  <c:v>8.1790490939540417E-10</c:v>
                </c:pt>
                <c:pt idx="193">
                  <c:v>1.0086460301967802E-9</c:v>
                </c:pt>
                <c:pt idx="194">
                  <c:v>1.0350527693483998E-9</c:v>
                </c:pt>
                <c:pt idx="195">
                  <c:v>1.0965607769113789E-9</c:v>
                </c:pt>
                <c:pt idx="196">
                  <c:v>1.3911945734756635E-9</c:v>
                </c:pt>
                <c:pt idx="197">
                  <c:v>1.3730420808580479E-9</c:v>
                </c:pt>
                <c:pt idx="198">
                  <c:v>1.0948303710907125E-9</c:v>
                </c:pt>
                <c:pt idx="199">
                  <c:v>1.0651358585429574E-9</c:v>
                </c:pt>
                <c:pt idx="200">
                  <c:v>6.205954317231775E-10</c:v>
                </c:pt>
                <c:pt idx="201">
                  <c:v>7.1870127971163949E-10</c:v>
                </c:pt>
                <c:pt idx="202">
                  <c:v>8.1632910221638789E-10</c:v>
                </c:pt>
                <c:pt idx="203">
                  <c:v>1.1653158064606437E-9</c:v>
                </c:pt>
                <c:pt idx="204">
                  <c:v>1.1350899339116068E-9</c:v>
                </c:pt>
                <c:pt idx="205">
                  <c:v>1.3214611092669487E-9</c:v>
                </c:pt>
                <c:pt idx="206">
                  <c:v>1.3593010946813536E-9</c:v>
                </c:pt>
                <c:pt idx="207">
                  <c:v>1.1041746051086631E-9</c:v>
                </c:pt>
                <c:pt idx="208">
                  <c:v>1.0042083336900728E-9</c:v>
                </c:pt>
                <c:pt idx="209">
                  <c:v>9.5337092005721272E-10</c:v>
                </c:pt>
                <c:pt idx="210">
                  <c:v>1.0761291211256868E-9</c:v>
                </c:pt>
                <c:pt idx="211">
                  <c:v>8.2350607246731821E-10</c:v>
                </c:pt>
                <c:pt idx="212">
                  <c:v>1.1936911301663279E-9</c:v>
                </c:pt>
                <c:pt idx="213">
                  <c:v>1.475145228064426E-9</c:v>
                </c:pt>
                <c:pt idx="214">
                  <c:v>1.2669281365785387E-9</c:v>
                </c:pt>
                <c:pt idx="215">
                  <c:v>1.4035289159842864E-9</c:v>
                </c:pt>
                <c:pt idx="216">
                  <c:v>8.1138590116085438E-10</c:v>
                </c:pt>
                <c:pt idx="217">
                  <c:v>8.2904949755630808E-10</c:v>
                </c:pt>
                <c:pt idx="218">
                  <c:v>1.0410726918750249E-9</c:v>
                </c:pt>
                <c:pt idx="219">
                  <c:v>1.1555014244660006E-9</c:v>
                </c:pt>
                <c:pt idx="220">
                  <c:v>9.9829816529755605E-10</c:v>
                </c:pt>
                <c:pt idx="221">
                  <c:v>1.2764017610370957E-9</c:v>
                </c:pt>
                <c:pt idx="222">
                  <c:v>1.5803366997604832E-9</c:v>
                </c:pt>
                <c:pt idx="223">
                  <c:v>1.088702887505664E-9</c:v>
                </c:pt>
                <c:pt idx="224">
                  <c:v>1.2865356662204355E-9</c:v>
                </c:pt>
                <c:pt idx="225">
                  <c:v>9.122675574109837E-10</c:v>
                </c:pt>
                <c:pt idx="226">
                  <c:v>1.0450438440838102E-9</c:v>
                </c:pt>
                <c:pt idx="227">
                  <c:v>1.155252702984542E-9</c:v>
                </c:pt>
                <c:pt idx="228">
                  <c:v>1.3578397164064074E-9</c:v>
                </c:pt>
                <c:pt idx="229">
                  <c:v>1.5001185580994878E-9</c:v>
                </c:pt>
                <c:pt idx="230">
                  <c:v>1.0624748092724147E-9</c:v>
                </c:pt>
                <c:pt idx="231">
                  <c:v>1.0785470358737632E-9</c:v>
                </c:pt>
                <c:pt idx="232">
                  <c:v>8.8599731315775894E-10</c:v>
                </c:pt>
                <c:pt idx="233">
                  <c:v>1.191213777492228E-9</c:v>
                </c:pt>
                <c:pt idx="234">
                  <c:v>1.235520196921236E-9</c:v>
                </c:pt>
                <c:pt idx="235">
                  <c:v>1.2950481506620971E-9</c:v>
                </c:pt>
                <c:pt idx="236">
                  <c:v>1.8531161385909668E-9</c:v>
                </c:pt>
                <c:pt idx="237">
                  <c:v>1.3347447442313809E-9</c:v>
                </c:pt>
                <c:pt idx="238">
                  <c:v>1.289910890328661E-9</c:v>
                </c:pt>
                <c:pt idx="239">
                  <c:v>9.320899727632931E-10</c:v>
                </c:pt>
                <c:pt idx="240">
                  <c:v>1.3138978385027418E-9</c:v>
                </c:pt>
                <c:pt idx="241">
                  <c:v>1.376649810675912E-9</c:v>
                </c:pt>
                <c:pt idx="242">
                  <c:v>1.537962419757592E-9</c:v>
                </c:pt>
                <c:pt idx="243">
                  <c:v>1.7817333257133765E-9</c:v>
                </c:pt>
                <c:pt idx="244">
                  <c:v>1.5372648875447571E-9</c:v>
                </c:pt>
                <c:pt idx="245">
                  <c:v>1.1645286988772356E-9</c:v>
                </c:pt>
                <c:pt idx="246">
                  <c:v>1.4061438565215956E-9</c:v>
                </c:pt>
                <c:pt idx="247">
                  <c:v>1.7867216739085982E-9</c:v>
                </c:pt>
                <c:pt idx="248">
                  <c:v>1.5941929522345806E-9</c:v>
                </c:pt>
                <c:pt idx="249">
                  <c:v>1.617816682514907E-9</c:v>
                </c:pt>
                <c:pt idx="250">
                  <c:v>1.6174312713325567E-9</c:v>
                </c:pt>
                <c:pt idx="251">
                  <c:v>1.470151592966309E-9</c:v>
                </c:pt>
                <c:pt idx="252">
                  <c:v>1.5565873061507366E-9</c:v>
                </c:pt>
                <c:pt idx="253">
                  <c:v>1.9084817579033974E-9</c:v>
                </c:pt>
                <c:pt idx="254">
                  <c:v>2.0899051301357406E-9</c:v>
                </c:pt>
                <c:pt idx="255">
                  <c:v>1.2256675347156906E-9</c:v>
                </c:pt>
                <c:pt idx="256">
                  <c:v>1.666611937087117E-9</c:v>
                </c:pt>
                <c:pt idx="257">
                  <c:v>1.5233590396916991E-9</c:v>
                </c:pt>
                <c:pt idx="258">
                  <c:v>1.9598856778789448E-9</c:v>
                </c:pt>
                <c:pt idx="259">
                  <c:v>1.6322995134472817E-9</c:v>
                </c:pt>
                <c:pt idx="260">
                  <c:v>1.6847223315239564E-9</c:v>
                </c:pt>
                <c:pt idx="261">
                  <c:v>1.3679579314836901E-9</c:v>
                </c:pt>
                <c:pt idx="262">
                  <c:v>2.0149196861631959E-9</c:v>
                </c:pt>
                <c:pt idx="263">
                  <c:v>1.8467969961369501E-9</c:v>
                </c:pt>
                <c:pt idx="264">
                  <c:v>1.5301914613753792E-9</c:v>
                </c:pt>
                <c:pt idx="265">
                  <c:v>1.7507163960722625E-9</c:v>
                </c:pt>
                <c:pt idx="266">
                  <c:v>1.8686206779942233E-9</c:v>
                </c:pt>
                <c:pt idx="267">
                  <c:v>1.623756426171647E-9</c:v>
                </c:pt>
                <c:pt idx="268">
                  <c:v>1.6175464380326935E-9</c:v>
                </c:pt>
                <c:pt idx="269">
                  <c:v>1.7402316524364586E-9</c:v>
                </c:pt>
                <c:pt idx="270">
                  <c:v>1.4465362760846992E-9</c:v>
                </c:pt>
                <c:pt idx="271">
                  <c:v>1.5160687612481564E-9</c:v>
                </c:pt>
                <c:pt idx="272">
                  <c:v>1.9601736196400944E-9</c:v>
                </c:pt>
                <c:pt idx="273">
                  <c:v>1.4642513791981031E-9</c:v>
                </c:pt>
                <c:pt idx="274">
                  <c:v>1.2939112983463414E-9</c:v>
                </c:pt>
                <c:pt idx="275">
                  <c:v>2.0449365984433709E-9</c:v>
                </c:pt>
                <c:pt idx="276">
                  <c:v>1.7569464744833605E-9</c:v>
                </c:pt>
                <c:pt idx="277">
                  <c:v>1.8103581407418964E-9</c:v>
                </c:pt>
                <c:pt idx="278">
                  <c:v>2.0420270820349847E-9</c:v>
                </c:pt>
                <c:pt idx="279">
                  <c:v>2.1038350713525485E-9</c:v>
                </c:pt>
                <c:pt idx="280">
                  <c:v>1.7607899815159586E-9</c:v>
                </c:pt>
                <c:pt idx="281">
                  <c:v>1.6334821702414137E-9</c:v>
                </c:pt>
                <c:pt idx="282">
                  <c:v>1.6433519827248796E-9</c:v>
                </c:pt>
                <c:pt idx="283">
                  <c:v>2.0709721836662913E-9</c:v>
                </c:pt>
                <c:pt idx="284">
                  <c:v>1.0813379173800412E-9</c:v>
                </c:pt>
                <c:pt idx="285">
                  <c:v>1.6698563348559773E-9</c:v>
                </c:pt>
                <c:pt idx="286">
                  <c:v>2.2490565080867706E-9</c:v>
                </c:pt>
                <c:pt idx="287">
                  <c:v>2.3967809726906631E-9</c:v>
                </c:pt>
                <c:pt idx="288">
                  <c:v>1.9901992576811394E-9</c:v>
                </c:pt>
                <c:pt idx="289">
                  <c:v>1.7426788048344034E-9</c:v>
                </c:pt>
                <c:pt idx="290">
                  <c:v>1.3862477660164363E-9</c:v>
                </c:pt>
                <c:pt idx="291">
                  <c:v>2.8761114274769195E-9</c:v>
                </c:pt>
                <c:pt idx="292">
                  <c:v>1.5131707332405801E-9</c:v>
                </c:pt>
                <c:pt idx="293">
                  <c:v>1.6367288360664412E-9</c:v>
                </c:pt>
                <c:pt idx="294">
                  <c:v>1.2528248382811632E-9</c:v>
                </c:pt>
                <c:pt idx="295">
                  <c:v>2.1208146212081003E-9</c:v>
                </c:pt>
                <c:pt idx="296">
                  <c:v>1.9601542012516878E-9</c:v>
                </c:pt>
                <c:pt idx="297">
                  <c:v>1.5526639255294253E-9</c:v>
                </c:pt>
                <c:pt idx="298">
                  <c:v>2.0988969816332707E-9</c:v>
                </c:pt>
                <c:pt idx="299">
                  <c:v>1.2272895076360614E-9</c:v>
                </c:pt>
                <c:pt idx="300">
                  <c:v>1.410498448774152E-9</c:v>
                </c:pt>
                <c:pt idx="301">
                  <c:v>1.9942818039335999E-9</c:v>
                </c:pt>
                <c:pt idx="302">
                  <c:v>1.277702963576096E-9</c:v>
                </c:pt>
                <c:pt idx="303">
                  <c:v>1.4875691706272125E-9</c:v>
                </c:pt>
                <c:pt idx="304">
                  <c:v>5.3839563850667403E-10</c:v>
                </c:pt>
                <c:pt idx="305">
                  <c:v>1.9272064656296154E-9</c:v>
                </c:pt>
                <c:pt idx="306">
                  <c:v>2.2331414992075656E-9</c:v>
                </c:pt>
                <c:pt idx="307">
                  <c:v>1.8090810488949325E-9</c:v>
                </c:pt>
                <c:pt idx="308">
                  <c:v>1.4692147829929081E-9</c:v>
                </c:pt>
                <c:pt idx="309">
                  <c:v>2.6279004647583949E-9</c:v>
                </c:pt>
                <c:pt idx="310">
                  <c:v>1.8810947190558425E-9</c:v>
                </c:pt>
                <c:pt idx="311">
                  <c:v>3.0865044723299129E-9</c:v>
                </c:pt>
                <c:pt idx="312">
                  <c:v>2.6104034650525181E-9</c:v>
                </c:pt>
                <c:pt idx="313">
                  <c:v>7.4812204781374068E-10</c:v>
                </c:pt>
                <c:pt idx="314">
                  <c:v>9.2001353576744932E-10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8.43E-03</c:v>
                </c:pt>
                <c:pt idx="1">
                  <c:v>8.51E-03</c:v>
                </c:pt>
                <c:pt idx="2">
                  <c:v>8.60E-03</c:v>
                </c:pt>
                <c:pt idx="3">
                  <c:v>8.69E-03</c:v>
                </c:pt>
                <c:pt idx="4">
                  <c:v>8.77E-03</c:v>
                </c:pt>
                <c:pt idx="5">
                  <c:v>8.86E-03</c:v>
                </c:pt>
                <c:pt idx="6">
                  <c:v>8.95E-03</c:v>
                </c:pt>
                <c:pt idx="7">
                  <c:v>9.04E-03</c:v>
                </c:pt>
                <c:pt idx="8">
                  <c:v>9.13E-03</c:v>
                </c:pt>
                <c:pt idx="9">
                  <c:v>9.22E-03</c:v>
                </c:pt>
                <c:pt idx="10">
                  <c:v>9.31E-03</c:v>
                </c:pt>
                <c:pt idx="11">
                  <c:v>9.41E-03</c:v>
                </c:pt>
                <c:pt idx="12">
                  <c:v>9.50E-03</c:v>
                </c:pt>
                <c:pt idx="13">
                  <c:v>9.59E-03</c:v>
                </c:pt>
                <c:pt idx="14">
                  <c:v>9.69E-03</c:v>
                </c:pt>
                <c:pt idx="15">
                  <c:v>9.79E-03</c:v>
                </c:pt>
                <c:pt idx="16">
                  <c:v>9.89E-03</c:v>
                </c:pt>
                <c:pt idx="17">
                  <c:v>9.98E-03</c:v>
                </c:pt>
                <c:pt idx="18">
                  <c:v>1.01E-02</c:v>
                </c:pt>
                <c:pt idx="19">
                  <c:v>1.02E-02</c:v>
                </c:pt>
                <c:pt idx="20">
                  <c:v>1.03E-02</c:v>
                </c:pt>
                <c:pt idx="21">
                  <c:v>1.04E-02</c:v>
                </c:pt>
                <c:pt idx="22">
                  <c:v>1.05E-02</c:v>
                </c:pt>
                <c:pt idx="23">
                  <c:v>1.06E-02</c:v>
                </c:pt>
                <c:pt idx="24">
                  <c:v>1.07E-02</c:v>
                </c:pt>
                <c:pt idx="25">
                  <c:v>1.08E-02</c:v>
                </c:pt>
                <c:pt idx="26">
                  <c:v>1.09E-02</c:v>
                </c:pt>
                <c:pt idx="27">
                  <c:v>1.10E-02</c:v>
                </c:pt>
                <c:pt idx="28">
                  <c:v>1.11E-02</c:v>
                </c:pt>
                <c:pt idx="29">
                  <c:v>1.13E-02</c:v>
                </c:pt>
                <c:pt idx="30">
                  <c:v>1.14E-02</c:v>
                </c:pt>
                <c:pt idx="31">
                  <c:v>1.15E-02</c:v>
                </c:pt>
                <c:pt idx="32">
                  <c:v>1.16E-02</c:v>
                </c:pt>
                <c:pt idx="33">
                  <c:v>1.17E-02</c:v>
                </c:pt>
                <c:pt idx="34">
                  <c:v>1.18E-02</c:v>
                </c:pt>
                <c:pt idx="35">
                  <c:v>1.19E-02</c:v>
                </c:pt>
                <c:pt idx="36">
                  <c:v>1.21E-02</c:v>
                </c:pt>
                <c:pt idx="37">
                  <c:v>1.22E-02</c:v>
                </c:pt>
                <c:pt idx="38">
                  <c:v>1.23E-02</c:v>
                </c:pt>
                <c:pt idx="39">
                  <c:v>1.24E-02</c:v>
                </c:pt>
                <c:pt idx="40">
                  <c:v>1.26E-02</c:v>
                </c:pt>
                <c:pt idx="41">
                  <c:v>1.27E-02</c:v>
                </c:pt>
                <c:pt idx="42">
                  <c:v>1.28E-02</c:v>
                </c:pt>
                <c:pt idx="43">
                  <c:v>1.29E-02</c:v>
                </c:pt>
                <c:pt idx="44">
                  <c:v>1.31E-02</c:v>
                </c:pt>
                <c:pt idx="45">
                  <c:v>1.32E-02</c:v>
                </c:pt>
                <c:pt idx="46">
                  <c:v>1.33E-02</c:v>
                </c:pt>
                <c:pt idx="47">
                  <c:v>1.35E-02</c:v>
                </c:pt>
                <c:pt idx="48">
                  <c:v>1.36E-02</c:v>
                </c:pt>
                <c:pt idx="49">
                  <c:v>1.37E-02</c:v>
                </c:pt>
                <c:pt idx="50">
                  <c:v>1.39E-02</c:v>
                </c:pt>
                <c:pt idx="51">
                  <c:v>1.40E-02</c:v>
                </c:pt>
                <c:pt idx="52">
                  <c:v>1.41E-02</c:v>
                </c:pt>
                <c:pt idx="53">
                  <c:v>1.43E-02</c:v>
                </c:pt>
                <c:pt idx="54">
                  <c:v>1.44E-02</c:v>
                </c:pt>
                <c:pt idx="55">
                  <c:v>1.46E-02</c:v>
                </c:pt>
                <c:pt idx="56">
                  <c:v>1.47E-02</c:v>
                </c:pt>
                <c:pt idx="57">
                  <c:v>1.49E-02</c:v>
                </c:pt>
                <c:pt idx="58">
                  <c:v>1.50E-02</c:v>
                </c:pt>
                <c:pt idx="59">
                  <c:v>1.52E-02</c:v>
                </c:pt>
                <c:pt idx="60">
                  <c:v>1.53E-02</c:v>
                </c:pt>
                <c:pt idx="61">
                  <c:v>1.55E-02</c:v>
                </c:pt>
                <c:pt idx="62">
                  <c:v>1.56E-02</c:v>
                </c:pt>
                <c:pt idx="63">
                  <c:v>1.58E-02</c:v>
                </c:pt>
                <c:pt idx="64">
                  <c:v>1.59E-02</c:v>
                </c:pt>
                <c:pt idx="65">
                  <c:v>1.61E-02</c:v>
                </c:pt>
                <c:pt idx="66">
                  <c:v>1.63E-02</c:v>
                </c:pt>
                <c:pt idx="67">
                  <c:v>1.64E-02</c:v>
                </c:pt>
                <c:pt idx="68">
                  <c:v>1.66E-02</c:v>
                </c:pt>
                <c:pt idx="69">
                  <c:v>1.68E-02</c:v>
                </c:pt>
                <c:pt idx="70">
                  <c:v>1.69E-02</c:v>
                </c:pt>
                <c:pt idx="71">
                  <c:v>1.71E-02</c:v>
                </c:pt>
                <c:pt idx="72">
                  <c:v>1.73E-02</c:v>
                </c:pt>
                <c:pt idx="73">
                  <c:v>1.74E-02</c:v>
                </c:pt>
                <c:pt idx="74">
                  <c:v>1.76E-02</c:v>
                </c:pt>
                <c:pt idx="75">
                  <c:v>1.78E-02</c:v>
                </c:pt>
                <c:pt idx="76">
                  <c:v>1.80E-02</c:v>
                </c:pt>
                <c:pt idx="77">
                  <c:v>1.81E-02</c:v>
                </c:pt>
                <c:pt idx="78">
                  <c:v>1.83E-02</c:v>
                </c:pt>
                <c:pt idx="79">
                  <c:v>1.85E-02</c:v>
                </c:pt>
                <c:pt idx="80">
                  <c:v>1.87E-02</c:v>
                </c:pt>
                <c:pt idx="81">
                  <c:v>1.89E-02</c:v>
                </c:pt>
                <c:pt idx="82">
                  <c:v>1.91E-02</c:v>
                </c:pt>
                <c:pt idx="83">
                  <c:v>1.93E-02</c:v>
                </c:pt>
                <c:pt idx="84">
                  <c:v>1.94E-02</c:v>
                </c:pt>
                <c:pt idx="85">
                  <c:v>1.96E-02</c:v>
                </c:pt>
                <c:pt idx="86">
                  <c:v>1.98E-02</c:v>
                </c:pt>
                <c:pt idx="87">
                  <c:v>2.00E-02</c:v>
                </c:pt>
                <c:pt idx="88">
                  <c:v>2.02E-02</c:v>
                </c:pt>
                <c:pt idx="89">
                  <c:v>2.04E-02</c:v>
                </c:pt>
                <c:pt idx="90">
                  <c:v>2.06E-02</c:v>
                </c:pt>
                <c:pt idx="91">
                  <c:v>2.08E-02</c:v>
                </c:pt>
                <c:pt idx="92">
                  <c:v>2.11E-02</c:v>
                </c:pt>
                <c:pt idx="93">
                  <c:v>2.13E-02</c:v>
                </c:pt>
                <c:pt idx="94">
                  <c:v>2.15E-02</c:v>
                </c:pt>
                <c:pt idx="95">
                  <c:v>2.17E-02</c:v>
                </c:pt>
                <c:pt idx="96">
                  <c:v>2.19E-02</c:v>
                </c:pt>
                <c:pt idx="97">
                  <c:v>2.21E-02</c:v>
                </c:pt>
                <c:pt idx="98">
                  <c:v>2.24E-02</c:v>
                </c:pt>
                <c:pt idx="99">
                  <c:v>2.26E-02</c:v>
                </c:pt>
                <c:pt idx="100">
                  <c:v>2.28E-02</c:v>
                </c:pt>
                <c:pt idx="101">
                  <c:v>2.30E-02</c:v>
                </c:pt>
                <c:pt idx="102">
                  <c:v>2.33E-02</c:v>
                </c:pt>
                <c:pt idx="103">
                  <c:v>2.35E-02</c:v>
                </c:pt>
                <c:pt idx="104">
                  <c:v>2.37E-02</c:v>
                </c:pt>
                <c:pt idx="105">
                  <c:v>2.40E-02</c:v>
                </c:pt>
                <c:pt idx="106">
                  <c:v>2.42E-02</c:v>
                </c:pt>
                <c:pt idx="107">
                  <c:v>2.44E-02</c:v>
                </c:pt>
                <c:pt idx="108">
                  <c:v>2.47E-02</c:v>
                </c:pt>
                <c:pt idx="109">
                  <c:v>2.49E-02</c:v>
                </c:pt>
                <c:pt idx="110">
                  <c:v>2.52E-02</c:v>
                </c:pt>
                <c:pt idx="111">
                  <c:v>2.54E-02</c:v>
                </c:pt>
                <c:pt idx="112">
                  <c:v>2.57E-02</c:v>
                </c:pt>
                <c:pt idx="113">
                  <c:v>2.60E-02</c:v>
                </c:pt>
                <c:pt idx="114">
                  <c:v>2.62E-02</c:v>
                </c:pt>
                <c:pt idx="115">
                  <c:v>2.65E-02</c:v>
                </c:pt>
                <c:pt idx="116">
                  <c:v>2.67E-02</c:v>
                </c:pt>
                <c:pt idx="117">
                  <c:v>2.70E-02</c:v>
                </c:pt>
                <c:pt idx="118">
                  <c:v>2.73E-02</c:v>
                </c:pt>
                <c:pt idx="119">
                  <c:v>2.75E-02</c:v>
                </c:pt>
                <c:pt idx="120">
                  <c:v>2.78E-02</c:v>
                </c:pt>
                <c:pt idx="121">
                  <c:v>2.81E-02</c:v>
                </c:pt>
                <c:pt idx="122">
                  <c:v>2.84E-02</c:v>
                </c:pt>
                <c:pt idx="123">
                  <c:v>2.87E-02</c:v>
                </c:pt>
                <c:pt idx="124">
                  <c:v>2.90E-02</c:v>
                </c:pt>
                <c:pt idx="125">
                  <c:v>2.92E-02</c:v>
                </c:pt>
                <c:pt idx="126">
                  <c:v>2.95E-02</c:v>
                </c:pt>
                <c:pt idx="127">
                  <c:v>2.98E-02</c:v>
                </c:pt>
                <c:pt idx="128">
                  <c:v>3.01E-02</c:v>
                </c:pt>
                <c:pt idx="129">
                  <c:v>3.04E-02</c:v>
                </c:pt>
                <c:pt idx="130">
                  <c:v>3.07E-02</c:v>
                </c:pt>
                <c:pt idx="131">
                  <c:v>3.10E-02</c:v>
                </c:pt>
                <c:pt idx="132">
                  <c:v>3.14E-02</c:v>
                </c:pt>
                <c:pt idx="133">
                  <c:v>3.17E-02</c:v>
                </c:pt>
                <c:pt idx="134">
                  <c:v>3.20E-02</c:v>
                </c:pt>
                <c:pt idx="135">
                  <c:v>3.23E-02</c:v>
                </c:pt>
                <c:pt idx="136">
                  <c:v>3.26E-02</c:v>
                </c:pt>
                <c:pt idx="137">
                  <c:v>3.30E-02</c:v>
                </c:pt>
                <c:pt idx="138">
                  <c:v>3.33E-02</c:v>
                </c:pt>
                <c:pt idx="139">
                  <c:v>3.36E-02</c:v>
                </c:pt>
                <c:pt idx="140">
                  <c:v>3.40E-02</c:v>
                </c:pt>
                <c:pt idx="141">
                  <c:v>3.43E-02</c:v>
                </c:pt>
                <c:pt idx="142">
                  <c:v>3.46E-02</c:v>
                </c:pt>
                <c:pt idx="143">
                  <c:v>3.50E-02</c:v>
                </c:pt>
                <c:pt idx="144">
                  <c:v>3.53E-02</c:v>
                </c:pt>
                <c:pt idx="145">
                  <c:v>3.57E-02</c:v>
                </c:pt>
                <c:pt idx="146">
                  <c:v>3.60E-02</c:v>
                </c:pt>
                <c:pt idx="147">
                  <c:v>3.64E-02</c:v>
                </c:pt>
                <c:pt idx="148">
                  <c:v>3.68E-02</c:v>
                </c:pt>
                <c:pt idx="149">
                  <c:v>3.71E-02</c:v>
                </c:pt>
                <c:pt idx="150">
                  <c:v>3.75E-02</c:v>
                </c:pt>
                <c:pt idx="151">
                  <c:v>3.79E-02</c:v>
                </c:pt>
                <c:pt idx="152">
                  <c:v>3.83E-02</c:v>
                </c:pt>
                <c:pt idx="153">
                  <c:v>3.86E-02</c:v>
                </c:pt>
                <c:pt idx="154">
                  <c:v>3.90E-02</c:v>
                </c:pt>
                <c:pt idx="155">
                  <c:v>3.94E-02</c:v>
                </c:pt>
                <c:pt idx="156">
                  <c:v>3.98E-02</c:v>
                </c:pt>
                <c:pt idx="157">
                  <c:v>4.02E-02</c:v>
                </c:pt>
                <c:pt idx="158">
                  <c:v>4.06E-02</c:v>
                </c:pt>
                <c:pt idx="159">
                  <c:v>4.10E-02</c:v>
                </c:pt>
                <c:pt idx="160">
                  <c:v>4.14E-02</c:v>
                </c:pt>
                <c:pt idx="161">
                  <c:v>4.18E-02</c:v>
                </c:pt>
                <c:pt idx="162">
                  <c:v>4.23E-02</c:v>
                </c:pt>
                <c:pt idx="163">
                  <c:v>4.27E-02</c:v>
                </c:pt>
                <c:pt idx="164">
                  <c:v>4.31E-02</c:v>
                </c:pt>
                <c:pt idx="165">
                  <c:v>4.35E-02</c:v>
                </c:pt>
                <c:pt idx="166">
                  <c:v>4.40E-02</c:v>
                </c:pt>
                <c:pt idx="167">
                  <c:v>4.44E-02</c:v>
                </c:pt>
                <c:pt idx="168">
                  <c:v>4.49E-02</c:v>
                </c:pt>
                <c:pt idx="169">
                  <c:v>4.53E-02</c:v>
                </c:pt>
                <c:pt idx="170">
                  <c:v>4.58E-02</c:v>
                </c:pt>
                <c:pt idx="171">
                  <c:v>4.62E-02</c:v>
                </c:pt>
                <c:pt idx="172">
                  <c:v>4.67E-02</c:v>
                </c:pt>
                <c:pt idx="173">
                  <c:v>4.71E-02</c:v>
                </c:pt>
                <c:pt idx="174">
                  <c:v>4.76E-02</c:v>
                </c:pt>
                <c:pt idx="175">
                  <c:v>4.81E-02</c:v>
                </c:pt>
                <c:pt idx="176">
                  <c:v>4.86E-02</c:v>
                </c:pt>
                <c:pt idx="177">
                  <c:v>4.91E-02</c:v>
                </c:pt>
                <c:pt idx="178">
                  <c:v>4.96E-02</c:v>
                </c:pt>
                <c:pt idx="179">
                  <c:v>5.00E-02</c:v>
                </c:pt>
                <c:pt idx="180">
                  <c:v>5.05E-02</c:v>
                </c:pt>
                <c:pt idx="181">
                  <c:v>5.11E-02</c:v>
                </c:pt>
                <c:pt idx="182">
                  <c:v>5.16E-02</c:v>
                </c:pt>
                <c:pt idx="183">
                  <c:v>5.21E-02</c:v>
                </c:pt>
                <c:pt idx="184">
                  <c:v>5.26E-02</c:v>
                </c:pt>
                <c:pt idx="185">
                  <c:v>5.31E-02</c:v>
                </c:pt>
                <c:pt idx="186">
                  <c:v>5.37E-02</c:v>
                </c:pt>
                <c:pt idx="187">
                  <c:v>5.42E-02</c:v>
                </c:pt>
                <c:pt idx="188">
                  <c:v>5.47E-02</c:v>
                </c:pt>
                <c:pt idx="189">
                  <c:v>5.53E-02</c:v>
                </c:pt>
                <c:pt idx="190">
                  <c:v>5.58E-02</c:v>
                </c:pt>
                <c:pt idx="191">
                  <c:v>5.64E-02</c:v>
                </c:pt>
                <c:pt idx="192">
                  <c:v>5.70E-02</c:v>
                </c:pt>
                <c:pt idx="193">
                  <c:v>5.75E-02</c:v>
                </c:pt>
                <c:pt idx="194">
                  <c:v>5.81E-02</c:v>
                </c:pt>
                <c:pt idx="195">
                  <c:v>5.87E-02</c:v>
                </c:pt>
                <c:pt idx="196">
                  <c:v>5.93E-02</c:v>
                </c:pt>
                <c:pt idx="197">
                  <c:v>5.99E-02</c:v>
                </c:pt>
                <c:pt idx="198">
                  <c:v>6.05E-02</c:v>
                </c:pt>
                <c:pt idx="199">
                  <c:v>6.11E-02</c:v>
                </c:pt>
                <c:pt idx="200">
                  <c:v>6.17E-02</c:v>
                </c:pt>
                <c:pt idx="201">
                  <c:v>6.23E-02</c:v>
                </c:pt>
                <c:pt idx="202">
                  <c:v>6.29E-02</c:v>
                </c:pt>
                <c:pt idx="203">
                  <c:v>6.35E-02</c:v>
                </c:pt>
                <c:pt idx="204">
                  <c:v>6.42E-02</c:v>
                </c:pt>
                <c:pt idx="205">
                  <c:v>6.48E-02</c:v>
                </c:pt>
                <c:pt idx="206">
                  <c:v>6.55E-02</c:v>
                </c:pt>
                <c:pt idx="207">
                  <c:v>6.61E-02</c:v>
                </c:pt>
                <c:pt idx="208">
                  <c:v>6.68E-02</c:v>
                </c:pt>
                <c:pt idx="209">
                  <c:v>6.75E-02</c:v>
                </c:pt>
                <c:pt idx="210">
                  <c:v>6.81E-02</c:v>
                </c:pt>
                <c:pt idx="211">
                  <c:v>6.88E-02</c:v>
                </c:pt>
                <c:pt idx="212">
                  <c:v>6.95E-02</c:v>
                </c:pt>
                <c:pt idx="213">
                  <c:v>7.02E-02</c:v>
                </c:pt>
                <c:pt idx="214">
                  <c:v>7.09E-02</c:v>
                </c:pt>
                <c:pt idx="215">
                  <c:v>7.16E-02</c:v>
                </c:pt>
                <c:pt idx="216">
                  <c:v>7.23E-02</c:v>
                </c:pt>
                <c:pt idx="217">
                  <c:v>7.30E-02</c:v>
                </c:pt>
                <c:pt idx="218">
                  <c:v>7.38E-02</c:v>
                </c:pt>
                <c:pt idx="219">
                  <c:v>7.45E-02</c:v>
                </c:pt>
                <c:pt idx="220">
                  <c:v>7.53E-02</c:v>
                </c:pt>
                <c:pt idx="221">
                  <c:v>7.60E-02</c:v>
                </c:pt>
                <c:pt idx="222">
                  <c:v>7.68E-02</c:v>
                </c:pt>
                <c:pt idx="223">
                  <c:v>7.75E-02</c:v>
                </c:pt>
                <c:pt idx="224">
                  <c:v>7.83E-02</c:v>
                </c:pt>
                <c:pt idx="225">
                  <c:v>7.91E-02</c:v>
                </c:pt>
                <c:pt idx="226">
                  <c:v>7.99E-02</c:v>
                </c:pt>
                <c:pt idx="227">
                  <c:v>8.07E-02</c:v>
                </c:pt>
                <c:pt idx="228">
                  <c:v>8.15E-02</c:v>
                </c:pt>
                <c:pt idx="229">
                  <c:v>8.23E-02</c:v>
                </c:pt>
                <c:pt idx="230">
                  <c:v>8.31E-02</c:v>
                </c:pt>
                <c:pt idx="231">
                  <c:v>8.40E-02</c:v>
                </c:pt>
                <c:pt idx="232">
                  <c:v>8.48E-02</c:v>
                </c:pt>
                <c:pt idx="233">
                  <c:v>8.57E-02</c:v>
                </c:pt>
                <c:pt idx="234">
                  <c:v>8.65E-02</c:v>
                </c:pt>
                <c:pt idx="235">
                  <c:v>8.74E-02</c:v>
                </c:pt>
                <c:pt idx="236">
                  <c:v>8.82E-02</c:v>
                </c:pt>
                <c:pt idx="237">
                  <c:v>8.91E-02</c:v>
                </c:pt>
                <c:pt idx="238">
                  <c:v>9.00E-02</c:v>
                </c:pt>
                <c:pt idx="239">
                  <c:v>9.09E-02</c:v>
                </c:pt>
                <c:pt idx="240">
                  <c:v>9.18E-02</c:v>
                </c:pt>
                <c:pt idx="241">
                  <c:v>9.27E-02</c:v>
                </c:pt>
                <c:pt idx="242">
                  <c:v>9.37E-02</c:v>
                </c:pt>
                <c:pt idx="243">
                  <c:v>9.46E-02</c:v>
                </c:pt>
                <c:pt idx="244">
                  <c:v>9.56E-02</c:v>
                </c:pt>
                <c:pt idx="245">
                  <c:v>9.65E-02</c:v>
                </c:pt>
                <c:pt idx="246">
                  <c:v>9.75E-02</c:v>
                </c:pt>
                <c:pt idx="247">
                  <c:v>9.85E-02</c:v>
                </c:pt>
                <c:pt idx="248">
                  <c:v>9.94E-02</c:v>
                </c:pt>
                <c:pt idx="249">
                  <c:v>1.00E-01</c:v>
                </c:pt>
                <c:pt idx="250">
                  <c:v>1.01E-01</c:v>
                </c:pt>
                <c:pt idx="251">
                  <c:v>1.02E-01</c:v>
                </c:pt>
                <c:pt idx="252">
                  <c:v>1.03E-01</c:v>
                </c:pt>
                <c:pt idx="253">
                  <c:v>1.05E-01</c:v>
                </c:pt>
                <c:pt idx="254">
                  <c:v>1.06E-01</c:v>
                </c:pt>
                <c:pt idx="255">
                  <c:v>1.07E-01</c:v>
                </c:pt>
                <c:pt idx="256">
                  <c:v>1.08E-01</c:v>
                </c:pt>
                <c:pt idx="257">
                  <c:v>1.09E-01</c:v>
                </c:pt>
                <c:pt idx="258">
                  <c:v>1.10E-01</c:v>
                </c:pt>
                <c:pt idx="259">
                  <c:v>1.11E-01</c:v>
                </c:pt>
                <c:pt idx="260">
                  <c:v>1.12E-01</c:v>
                </c:pt>
                <c:pt idx="261">
                  <c:v>1.13E-01</c:v>
                </c:pt>
                <c:pt idx="262">
                  <c:v>1.14E-01</c:v>
                </c:pt>
                <c:pt idx="263">
                  <c:v>1.15E-01</c:v>
                </c:pt>
                <c:pt idx="264">
                  <c:v>1.17E-01</c:v>
                </c:pt>
                <c:pt idx="265">
                  <c:v>1.18E-01</c:v>
                </c:pt>
                <c:pt idx="266">
                  <c:v>1.19E-01</c:v>
                </c:pt>
                <c:pt idx="267">
                  <c:v>1.20E-01</c:v>
                </c:pt>
                <c:pt idx="268">
                  <c:v>1.21E-01</c:v>
                </c:pt>
                <c:pt idx="269">
                  <c:v>1.23E-01</c:v>
                </c:pt>
                <c:pt idx="270">
                  <c:v>1.24E-01</c:v>
                </c:pt>
                <c:pt idx="271">
                  <c:v>1.25E-01</c:v>
                </c:pt>
                <c:pt idx="272">
                  <c:v>1.26E-01</c:v>
                </c:pt>
                <c:pt idx="273">
                  <c:v>1.28E-01</c:v>
                </c:pt>
                <c:pt idx="274">
                  <c:v>1.29E-01</c:v>
                </c:pt>
                <c:pt idx="275">
                  <c:v>1.30E-01</c:v>
                </c:pt>
                <c:pt idx="276">
                  <c:v>1.31E-01</c:v>
                </c:pt>
                <c:pt idx="277">
                  <c:v>1.33E-01</c:v>
                </c:pt>
                <c:pt idx="278">
                  <c:v>1.34E-01</c:v>
                </c:pt>
                <c:pt idx="279">
                  <c:v>1.35E-01</c:v>
                </c:pt>
                <c:pt idx="280">
                  <c:v>1.37E-01</c:v>
                </c:pt>
                <c:pt idx="281">
                  <c:v>1.38E-01</c:v>
                </c:pt>
                <c:pt idx="282">
                  <c:v>1.39E-01</c:v>
                </c:pt>
                <c:pt idx="283">
                  <c:v>1.41E-01</c:v>
                </c:pt>
                <c:pt idx="284">
                  <c:v>1.42E-01</c:v>
                </c:pt>
                <c:pt idx="285">
                  <c:v>1.44E-01</c:v>
                </c:pt>
                <c:pt idx="286">
                  <c:v>1.45E-01</c:v>
                </c:pt>
                <c:pt idx="287">
                  <c:v>1.47E-01</c:v>
                </c:pt>
                <c:pt idx="288">
                  <c:v>1.48E-01</c:v>
                </c:pt>
                <c:pt idx="289">
                  <c:v>1.50E-01</c:v>
                </c:pt>
                <c:pt idx="290">
                  <c:v>1.51E-01</c:v>
                </c:pt>
                <c:pt idx="291">
                  <c:v>1.53E-01</c:v>
                </c:pt>
                <c:pt idx="292">
                  <c:v>1.54E-01</c:v>
                </c:pt>
                <c:pt idx="293">
                  <c:v>1.56E-01</c:v>
                </c:pt>
                <c:pt idx="294">
                  <c:v>1.57E-01</c:v>
                </c:pt>
                <c:pt idx="295">
                  <c:v>1.59E-01</c:v>
                </c:pt>
                <c:pt idx="296">
                  <c:v>1.60E-01</c:v>
                </c:pt>
                <c:pt idx="297">
                  <c:v>1.62E-01</c:v>
                </c:pt>
                <c:pt idx="298">
                  <c:v>1.64E-01</c:v>
                </c:pt>
                <c:pt idx="299">
                  <c:v>1.65E-01</c:v>
                </c:pt>
                <c:pt idx="300">
                  <c:v>1.67E-01</c:v>
                </c:pt>
                <c:pt idx="301">
                  <c:v>1.68E-01</c:v>
                </c:pt>
                <c:pt idx="302">
                  <c:v>1.70E-01</c:v>
                </c:pt>
                <c:pt idx="303">
                  <c:v>1.72E-01</c:v>
                </c:pt>
                <c:pt idx="304">
                  <c:v>1.74E-01</c:v>
                </c:pt>
                <c:pt idx="305">
                  <c:v>1.75E-01</c:v>
                </c:pt>
                <c:pt idx="306">
                  <c:v>1.77E-01</c:v>
                </c:pt>
                <c:pt idx="307">
                  <c:v>1.79E-01</c:v>
                </c:pt>
                <c:pt idx="308">
                  <c:v>1.81E-01</c:v>
                </c:pt>
                <c:pt idx="309">
                  <c:v>1.82E-01</c:v>
                </c:pt>
                <c:pt idx="310">
                  <c:v>1.84E-01</c:v>
                </c:pt>
                <c:pt idx="311">
                  <c:v>1.86E-01</c:v>
                </c:pt>
                <c:pt idx="312">
                  <c:v>1.88E-01</c:v>
                </c:pt>
                <c:pt idx="313">
                  <c:v>1.90E-01</c:v>
                </c:pt>
                <c:pt idx="314">
                  <c:v>1.92E-01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8.4303868303500003E-3</c:v>
                </c:pt>
                <c:pt idx="1">
                  <c:v>8.5146906986500008E-3</c:v>
                </c:pt>
                <c:pt idx="2">
                  <c:v>8.5998376056400008E-3</c:v>
                </c:pt>
                <c:pt idx="3">
                  <c:v>8.6858359817000002E-3</c:v>
                </c:pt>
                <c:pt idx="4">
                  <c:v>8.7726943415100001E-3</c:v>
                </c:pt>
                <c:pt idx="5">
                  <c:v>8.86042128493E-3</c:v>
                </c:pt>
                <c:pt idx="6">
                  <c:v>8.9490254977800006E-3</c:v>
                </c:pt>
                <c:pt idx="7">
                  <c:v>9.0385157527600006E-3</c:v>
                </c:pt>
                <c:pt idx="8">
                  <c:v>9.1289009102799995E-3</c:v>
                </c:pt>
                <c:pt idx="9">
                  <c:v>9.2201899193900001E-3</c:v>
                </c:pt>
                <c:pt idx="10">
                  <c:v>9.3123918185800004E-3</c:v>
                </c:pt>
                <c:pt idx="11">
                  <c:v>9.4055157367700006E-3</c:v>
                </c:pt>
                <c:pt idx="12">
                  <c:v>9.4995708941299998E-3</c:v>
                </c:pt>
                <c:pt idx="13">
                  <c:v>9.5945666030799997E-3</c:v>
                </c:pt>
                <c:pt idx="14">
                  <c:v>9.69051226911E-3</c:v>
                </c:pt>
                <c:pt idx="15">
                  <c:v>9.7874173918000001E-3</c:v>
                </c:pt>
                <c:pt idx="16">
                  <c:v>9.8852915657199995E-3</c:v>
                </c:pt>
                <c:pt idx="17">
                  <c:v>9.9841444813699998E-3</c:v>
                </c:pt>
                <c:pt idx="18">
                  <c:v>1.0083985926200001E-2</c:v>
                </c:pt>
                <c:pt idx="19">
                  <c:v>1.01848257854E-2</c:v>
                </c:pt>
                <c:pt idx="20">
                  <c:v>1.02866740433E-2</c:v>
                </c:pt>
                <c:pt idx="21">
                  <c:v>1.03895407837E-2</c:v>
                </c:pt>
                <c:pt idx="22">
                  <c:v>1.04934361916E-2</c:v>
                </c:pt>
                <c:pt idx="23">
                  <c:v>1.05983705535E-2</c:v>
                </c:pt>
                <c:pt idx="24">
                  <c:v>1.0704354259E-2</c:v>
                </c:pt>
                <c:pt idx="25">
                  <c:v>1.08113978016E-2</c:v>
                </c:pt>
                <c:pt idx="26">
                  <c:v>1.0919511779600001E-2</c:v>
                </c:pt>
                <c:pt idx="27">
                  <c:v>1.1028706897400001E-2</c:v>
                </c:pt>
                <c:pt idx="28">
                  <c:v>1.11389939664E-2</c:v>
                </c:pt>
                <c:pt idx="29">
                  <c:v>1.12503839061E-2</c:v>
                </c:pt>
                <c:pt idx="30">
                  <c:v>1.1362887745099999E-2</c:v>
                </c:pt>
                <c:pt idx="31">
                  <c:v>1.14765166226E-2</c:v>
                </c:pt>
                <c:pt idx="32">
                  <c:v>1.1591281788799999E-2</c:v>
                </c:pt>
                <c:pt idx="33">
                  <c:v>1.17071946067E-2</c:v>
                </c:pt>
                <c:pt idx="34">
                  <c:v>1.18242665528E-2</c:v>
                </c:pt>
                <c:pt idx="35">
                  <c:v>1.19425092183E-2</c:v>
                </c:pt>
                <c:pt idx="36">
                  <c:v>1.2061934310500001E-2</c:v>
                </c:pt>
                <c:pt idx="37">
                  <c:v>1.2182553653599999E-2</c:v>
                </c:pt>
                <c:pt idx="38">
                  <c:v>1.2304379190100001E-2</c:v>
                </c:pt>
                <c:pt idx="39">
                  <c:v>1.2427422981999999E-2</c:v>
                </c:pt>
                <c:pt idx="40">
                  <c:v>1.25516972118E-2</c:v>
                </c:pt>
                <c:pt idx="41">
                  <c:v>1.26772141839E-2</c:v>
                </c:pt>
                <c:pt idx="42">
                  <c:v>1.28039863258E-2</c:v>
                </c:pt>
                <c:pt idx="43">
                  <c:v>1.2932026189000001E-2</c:v>
                </c:pt>
                <c:pt idx="44">
                  <c:v>1.3061346450899999E-2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9.0919248388599994E-2</c:v>
                </c:pt>
                <c:pt idx="240">
                  <c:v>9.18284408725E-2</c:v>
                </c:pt>
                <c:pt idx="241">
                  <c:v>9.2746725281199996E-2</c:v>
                </c:pt>
                <c:pt idx="242">
                  <c:v>9.3674192534E-2</c:v>
                </c:pt>
                <c:pt idx="243">
                  <c:v>9.4610934459399998E-2</c:v>
                </c:pt>
                <c:pt idx="244">
                  <c:v>9.5557043804E-2</c:v>
                </c:pt>
                <c:pt idx="245">
                  <c:v>9.6512614242E-2</c:v>
                </c:pt>
                <c:pt idx="246">
                  <c:v>9.7477740384400005E-2</c:v>
                </c:pt>
                <c:pt idx="247">
                  <c:v>9.8452517788299998E-2</c:v>
                </c:pt>
                <c:pt idx="248">
                  <c:v>9.9437042966199998E-2</c:v>
                </c:pt>
                <c:pt idx="249">
                  <c:v>0.10043141339599999</c:v>
                </c:pt>
                <c:pt idx="250">
                  <c:v>0.10143572753000001</c:v>
                </c:pt>
                <c:pt idx="251">
                  <c:v>0.10245008480499999</c:v>
                </c:pt>
                <c:pt idx="252">
                  <c:v>0.103474585653</c:v>
                </c:pt>
                <c:pt idx="253">
                  <c:v>0.10450933151</c:v>
                </c:pt>
                <c:pt idx="254">
                  <c:v>0.10555442482500001</c:v>
                </c:pt>
                <c:pt idx="255">
                  <c:v>0.10660996907299999</c:v>
                </c:pt>
                <c:pt idx="256">
                  <c:v>0.107676068764</c:v>
                </c:pt>
                <c:pt idx="257">
                  <c:v>0.108752829451</c:v>
                </c:pt>
                <c:pt idx="258">
                  <c:v>0.109840357746</c:v>
                </c:pt>
                <c:pt idx="259">
                  <c:v>0.110938761323</c:v>
                </c:pt>
                <c:pt idx="260">
                  <c:v>0.11204814893700001</c:v>
                </c:pt>
                <c:pt idx="261">
                  <c:v>0.11316863042600001</c:v>
                </c:pt>
                <c:pt idx="262">
                  <c:v>0.11430031673</c:v>
                </c:pt>
                <c:pt idx="263">
                  <c:v>0.115443319898</c:v>
                </c:pt>
                <c:pt idx="264">
                  <c:v>0.116597753096</c:v>
                </c:pt>
                <c:pt idx="265">
                  <c:v>0.117763730627</c:v>
                </c:pt>
                <c:pt idx="266">
                  <c:v>0.11894136793399999</c:v>
                </c:pt>
                <c:pt idx="267">
                  <c:v>0.120130781613</c:v>
                </c:pt>
                <c:pt idx="268">
                  <c:v>0.12133208942900001</c:v>
                </c:pt>
                <c:pt idx="269">
                  <c:v>0.122545410323</c:v>
                </c:pt>
                <c:pt idx="270">
                  <c:v>0.123770864427</c:v>
                </c:pt>
                <c:pt idx="271">
                  <c:v>0.125008573071</c:v>
                </c:pt>
                <c:pt idx="272">
                  <c:v>0.12625865880199999</c:v>
                </c:pt>
                <c:pt idx="273">
                  <c:v>0.12752124539000001</c:v>
                </c:pt>
                <c:pt idx="274">
                  <c:v>0.12879645784400001</c:v>
                </c:pt>
                <c:pt idx="275">
                  <c:v>0.130084422422</c:v>
                </c:pt>
                <c:pt idx="276">
                  <c:v>0.131385266646</c:v>
                </c:pt>
                <c:pt idx="277">
                  <c:v>0.13269911931299999</c:v>
                </c:pt>
                <c:pt idx="278">
                  <c:v>0.134026110506</c:v>
                </c:pt>
                <c:pt idx="279">
                  <c:v>0.13536637161100001</c:v>
                </c:pt>
                <c:pt idx="280">
                  <c:v>0.136720035327</c:v>
                </c:pt>
                <c:pt idx="281">
                  <c:v>0.13808723568</c:v>
                </c:pt>
                <c:pt idx="282">
                  <c:v>0.13946810803699999</c:v>
                </c:pt>
                <c:pt idx="283">
                  <c:v>0.14086278911700001</c:v>
                </c:pt>
                <c:pt idx="284">
                  <c:v>0.14227141700900001</c:v>
                </c:pt>
                <c:pt idx="285">
                  <c:v>0.14369413117900001</c:v>
                </c:pt>
                <c:pt idx="286">
                  <c:v>0.14513107249099999</c:v>
                </c:pt>
                <c:pt idx="287">
                  <c:v>0.146582383215</c:v>
                </c:pt>
                <c:pt idx="288">
                  <c:v>0.14804820704800001</c:v>
                </c:pt>
                <c:pt idx="289">
                  <c:v>0.14952868911799999</c:v>
                </c:pt>
                <c:pt idx="290">
                  <c:v>0.151023976009</c:v>
                </c:pt>
                <c:pt idx="291">
                  <c:v>0.152534215769</c:v>
                </c:pt>
                <c:pt idx="292">
                  <c:v>0.15405955792699999</c:v>
                </c:pt>
                <c:pt idx="293">
                  <c:v>0.15560015350600001</c:v>
                </c:pt>
                <c:pt idx="294">
                  <c:v>0.157156155041</c:v>
                </c:pt>
                <c:pt idx="295">
                  <c:v>0.158727716592</c:v>
                </c:pt>
                <c:pt idx="296">
                  <c:v>0.16031499375800001</c:v>
                </c:pt>
                <c:pt idx="297">
                  <c:v>0.16191814369499999</c:v>
                </c:pt>
                <c:pt idx="298">
                  <c:v>0.16353732513200001</c:v>
                </c:pt>
                <c:pt idx="299">
                  <c:v>0.16517269838400001</c:v>
                </c:pt>
                <c:pt idx="300">
                  <c:v>0.16682442536700001</c:v>
                </c:pt>
                <c:pt idx="301">
                  <c:v>0.16849266962100001</c:v>
                </c:pt>
                <c:pt idx="302">
                  <c:v>0.170177596317</c:v>
                </c:pt>
                <c:pt idx="303">
                  <c:v>0.17187937228</c:v>
                </c:pt>
                <c:pt idx="304">
                  <c:v>0.17359816600299999</c:v>
                </c:pt>
                <c:pt idx="305">
                  <c:v>0.17533414766300001</c:v>
                </c:pt>
                <c:pt idx="306">
                  <c:v>0.17708748914</c:v>
                </c:pt>
                <c:pt idx="307">
                  <c:v>0.178858364031</c:v>
                </c:pt>
                <c:pt idx="308">
                  <c:v>0.18064694767200001</c:v>
                </c:pt>
                <c:pt idx="309">
                  <c:v>0.18245341714800001</c:v>
                </c:pt>
                <c:pt idx="310">
                  <c:v>0.18427795131999999</c:v>
                </c:pt>
                <c:pt idx="311">
                  <c:v>0.18612073083299999</c:v>
                </c:pt>
                <c:pt idx="312">
                  <c:v>0.187981938141</c:v>
                </c:pt>
                <c:pt idx="313">
                  <c:v>0.189861757523</c:v>
                </c:pt>
                <c:pt idx="314">
                  <c:v>0.19176037509800001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5.0042895721855384E-9</c:v>
                </c:pt>
                <c:pt idx="1">
                  <c:v>5.2048399889367583E-9</c:v>
                </c:pt>
                <c:pt idx="2">
                  <c:v>5.4130776156358479E-9</c:v>
                </c:pt>
                <c:pt idx="3">
                  <c:v>5.6292012700840668E-9</c:v>
                </c:pt>
                <c:pt idx="4">
                  <c:v>5.8533879422085889E-9</c:v>
                </c:pt>
                <c:pt idx="5">
                  <c:v>6.0857728463022829E-9</c:v>
                </c:pt>
                <c:pt idx="6">
                  <c:v>6.3264210578732706E-9</c:v>
                </c:pt>
                <c:pt idx="7">
                  <c:v>6.5752867341318177E-9</c:v>
                </c:pt>
                <c:pt idx="8">
                  <c:v>6.8321453244499844E-9</c:v>
                </c:pt>
                <c:pt idx="9">
                  <c:v>7.0964742486596325E-9</c:v>
                </c:pt>
                <c:pt idx="10">
                  <c:v>7.3672306862914168E-9</c:v>
                </c:pt>
                <c:pt idx="11">
                  <c:v>7.6424067648369696E-9</c:v>
                </c:pt>
                <c:pt idx="12">
                  <c:v>7.9180470409307978E-9</c:v>
                </c:pt>
                <c:pt idx="13">
                  <c:v>8.1858211026851876E-9</c:v>
                </c:pt>
                <c:pt idx="14">
                  <c:v>8.4274027115071023E-9</c:v>
                </c:pt>
                <c:pt idx="15">
                  <c:v>8.6030847739186031E-9</c:v>
                </c:pt>
                <c:pt idx="16">
                  <c:v>8.6413599599818556E-9</c:v>
                </c:pt>
                <c:pt idx="17">
                  <c:v>8.4226690092284826E-9</c:v>
                </c:pt>
                <c:pt idx="18">
                  <c:v>7.7376355664819162E-9</c:v>
                </c:pt>
                <c:pt idx="19">
                  <c:v>6.4059568224806158E-9</c:v>
                </c:pt>
                <c:pt idx="20">
                  <c:v>4.7282116837437659E-9</c:v>
                </c:pt>
                <c:pt idx="21">
                  <c:v>3.4484227336399065E-9</c:v>
                </c:pt>
                <c:pt idx="22">
                  <c:v>2.9163086144340426E-9</c:v>
                </c:pt>
                <c:pt idx="23">
                  <c:v>2.8610145616183754E-9</c:v>
                </c:pt>
                <c:pt idx="24">
                  <c:v>2.9365868693393015E-9</c:v>
                </c:pt>
                <c:pt idx="25">
                  <c:v>2.9957240870057177E-9</c:v>
                </c:pt>
                <c:pt idx="26">
                  <c:v>3.0094347441951305E-9</c:v>
                </c:pt>
                <c:pt idx="27">
                  <c:v>2.9787613956183753E-9</c:v>
                </c:pt>
                <c:pt idx="28">
                  <c:v>2.9092603534011612E-9</c:v>
                </c:pt>
                <c:pt idx="29">
                  <c:v>2.8061515586088586E-9</c:v>
                </c:pt>
                <c:pt idx="30">
                  <c:v>2.6744255787779808E-9</c:v>
                </c:pt>
                <c:pt idx="31">
                  <c:v>2.5190651264616899E-9</c:v>
                </c:pt>
                <c:pt idx="32">
                  <c:v>2.3451832606864061E-9</c:v>
                </c:pt>
                <c:pt idx="33">
                  <c:v>2.158069940009369E-9</c:v>
                </c:pt>
                <c:pt idx="34">
                  <c:v>1.9631609245712065E-9</c:v>
                </c:pt>
                <c:pt idx="35">
                  <c:v>1.7659455671256756E-9</c:v>
                </c:pt>
                <c:pt idx="36">
                  <c:v>1.5718305409411527E-9</c:v>
                </c:pt>
                <c:pt idx="37">
                  <c:v>1.3859770685254308E-9</c:v>
                </c:pt>
                <c:pt idx="38">
                  <c:v>1.2131293160364336E-9</c:v>
                </c:pt>
                <c:pt idx="39">
                  <c:v>1.0574507220844068E-9</c:v>
                </c:pt>
                <c:pt idx="40">
                  <c:v>9.2238283243287287E-10</c:v>
                </c:pt>
                <c:pt idx="41">
                  <c:v>8.1053780472342215E-10</c:v>
                </c:pt>
                <c:pt idx="42">
                  <c:v>7.236315275022781E-10</c:v>
                </c:pt>
                <c:pt idx="43">
                  <c:v>6.6222554111684425E-10</c:v>
                </c:pt>
                <c:pt idx="44">
                  <c:v>6.2673466468753848E-10</c:v>
                </c:pt>
                <c:pt idx="45">
                  <c:v>6.1591353541294565E-10</c:v>
                </c:pt>
                <c:pt idx="46">
                  <c:v>6.2804191755548732E-10</c:v>
                </c:pt>
                <c:pt idx="47">
                  <c:v>6.6074068990634176E-10</c:v>
                </c:pt>
                <c:pt idx="48">
                  <c:v>7.1109065844855598E-10</c:v>
                </c:pt>
                <c:pt idx="49">
                  <c:v>7.7575790932185067E-10</c:v>
                </c:pt>
                <c:pt idx="50">
                  <c:v>8.5112007084727816E-10</c:v>
                </c:pt>
                <c:pt idx="51">
                  <c:v>9.333894216877902E-10</c:v>
                </c:pt>
                <c:pt idx="52">
                  <c:v>1.0187302764645249E-9</c:v>
                </c:pt>
                <c:pt idx="53">
                  <c:v>1.1033693301964149E-9</c:v>
                </c:pt>
                <c:pt idx="54">
                  <c:v>1.1836985297408429E-9</c:v>
                </c:pt>
                <c:pt idx="55">
                  <c:v>1.2563705440410798E-9</c:v>
                </c:pt>
                <c:pt idx="56">
                  <c:v>1.3183870229339366E-9</c:v>
                </c:pt>
                <c:pt idx="57">
                  <c:v>1.3671796230689751E-9</c:v>
                </c:pt>
                <c:pt idx="58">
                  <c:v>1.4006833121155306E-9</c:v>
                </c:pt>
                <c:pt idx="59">
                  <c:v>1.4174008202859303E-9</c:v>
                </c:pt>
                <c:pt idx="60">
                  <c:v>1.4164563953882902E-9</c:v>
                </c:pt>
                <c:pt idx="61">
                  <c:v>1.3976363354077701E-9</c:v>
                </c:pt>
                <c:pt idx="62">
                  <c:v>1.3614132294263381E-9</c:v>
                </c:pt>
                <c:pt idx="63">
                  <c:v>1.3089505394097779E-9</c:v>
                </c:pt>
                <c:pt idx="64">
                  <c:v>1.2420841955156907E-9</c:v>
                </c:pt>
                <c:pt idx="65">
                  <c:v>1.1632783328988141E-9</c:v>
                </c:pt>
                <c:pt idx="66">
                  <c:v>1.0755532018614482E-9</c:v>
                </c:pt>
                <c:pt idx="67">
                  <c:v>9.823846332468506E-10</c:v>
                </c:pt>
                <c:pt idx="68">
                  <c:v>8.8757617115874381E-10</c:v>
                </c:pt>
                <c:pt idx="69">
                  <c:v>7.951069746730999E-10</c:v>
                </c:pt>
                <c:pt idx="70">
                  <c:v>7.0896066913496242E-10</c:v>
                </c:pt>
                <c:pt idx="71">
                  <c:v>6.3294228474550148E-10</c:v>
                </c:pt>
                <c:pt idx="72">
                  <c:v>5.7049204977608923E-10</c:v>
                </c:pt>
                <c:pt idx="73">
                  <c:v>5.2450590512084803E-10</c:v>
                </c:pt>
                <c:pt idx="74">
                  <c:v>4.9717303759810805E-10</c:v>
                </c:pt>
                <c:pt idx="75">
                  <c:v>4.8984042254043994E-10</c:v>
                </c:pt>
                <c:pt idx="76">
                  <c:v>5.0291333129620869E-10</c:v>
                </c:pt>
                <c:pt idx="77">
                  <c:v>5.3579909125850281E-10</c:v>
                </c:pt>
                <c:pt idx="78">
                  <c:v>5.8689923649621971E-10</c:v>
                </c:pt>
                <c:pt idx="79">
                  <c:v>6.5365274059596452E-10</c:v>
                </c:pt>
                <c:pt idx="80">
                  <c:v>7.326304658138025E-10</c:v>
                </c:pt>
                <c:pt idx="81">
                  <c:v>8.1967844877110691E-10</c:v>
                </c:pt>
                <c:pt idx="82">
                  <c:v>9.1010528230454994E-10</c:v>
                </c:pt>
                <c:pt idx="83">
                  <c:v>9.9890669664279236E-10</c:v>
                </c:pt>
                <c:pt idx="84">
                  <c:v>1.08101849899964E-9</c:v>
                </c:pt>
                <c:pt idx="85">
                  <c:v>1.1515872765316005E-9</c:v>
                </c:pt>
                <c:pt idx="86">
                  <c:v>1.2062466824845688E-9</c:v>
                </c:pt>
                <c:pt idx="87">
                  <c:v>1.2413857251345222E-9</c:v>
                </c:pt>
                <c:pt idx="88">
                  <c:v>1.2543943249222961E-9</c:v>
                </c:pt>
                <c:pt idx="89">
                  <c:v>1.2438706479168424E-9</c:v>
                </c:pt>
                <c:pt idx="90">
                  <c:v>1.2097745719902631E-9</c:v>
                </c:pt>
                <c:pt idx="91">
                  <c:v>1.1535123700087273E-9</c:v>
                </c:pt>
                <c:pt idx="92">
                  <c:v>1.0779395827982129E-9</c:v>
                </c:pt>
                <c:pt idx="93">
                  <c:v>9.8727234238480195E-10</c:v>
                </c:pt>
                <c:pt idx="94">
                  <c:v>8.8690222033782415E-10</c:v>
                </c:pt>
                <c:pt idx="95">
                  <c:v>7.8311595433690674E-10</c:v>
                </c:pt>
                <c:pt idx="96">
                  <c:v>6.827288703691946E-10</c:v>
                </c:pt>
                <c:pt idx="97">
                  <c:v>5.9264892461649661E-10</c:v>
                </c:pt>
                <c:pt idx="98">
                  <c:v>5.1939628928132005E-10</c:v>
                </c:pt>
                <c:pt idx="99">
                  <c:v>4.6861040013222246E-10</c:v>
                </c:pt>
                <c:pt idx="100">
                  <c:v>4.4458144764965607E-10</c:v>
                </c:pt>
                <c:pt idx="101">
                  <c:v>4.4984561917682292E-10</c:v>
                </c:pt>
                <c:pt idx="102">
                  <c:v>4.8488241210564798E-10</c:v>
                </c:pt>
                <c:pt idx="103">
                  <c:v>5.4794780656114965E-10</c:v>
                </c:pt>
                <c:pt idx="104">
                  <c:v>6.3506914048115737E-10</c:v>
                </c:pt>
                <c:pt idx="105">
                  <c:v>7.402166485969799E-10</c:v>
                </c:pt>
                <c:pt idx="106">
                  <c:v>8.5565354660436561E-10</c:v>
                </c:pt>
                <c:pt idx="107">
                  <c:v>9.7245216740380249E-10</c:v>
                </c:pt>
                <c:pt idx="108">
                  <c:v>1.0811489488635715E-9</c:v>
                </c:pt>
                <c:pt idx="109">
                  <c:v>1.1724970160373706E-9</c:v>
                </c:pt>
                <c:pt idx="110">
                  <c:v>1.2382626617937851E-9</c:v>
                </c:pt>
                <c:pt idx="111">
                  <c:v>1.2720022206816205E-9</c:v>
                </c:pt>
                <c:pt idx="112">
                  <c:v>1.2697497252771223E-9</c:v>
                </c:pt>
                <c:pt idx="113">
                  <c:v>1.2305444886360626E-9</c:v>
                </c:pt>
                <c:pt idx="114">
                  <c:v>1.1567325340033622E-9</c:v>
                </c:pt>
                <c:pt idx="115">
                  <c:v>1.053987585299935E-9</c:v>
                </c:pt>
                <c:pt idx="116">
                  <c:v>9.3101667429063506E-10</c:v>
                </c:pt>
                <c:pt idx="117">
                  <c:v>7.9894204763137345E-10</c:v>
                </c:pt>
                <c:pt idx="118">
                  <c:v>6.7038358463468505E-10</c:v>
                </c:pt>
                <c:pt idx="119">
                  <c:v>5.5830168072690075E-10</c:v>
                </c:pt>
                <c:pt idx="120">
                  <c:v>4.746956061311641E-10</c:v>
                </c:pt>
                <c:pt idx="121">
                  <c:v>4.2928193177497792E-10</c:v>
                </c:pt>
                <c:pt idx="122">
                  <c:v>4.282967668931961E-10</c:v>
                </c:pt>
                <c:pt idx="123">
                  <c:v>4.7356993528695709E-10</c:v>
                </c:pt>
                <c:pt idx="124">
                  <c:v>5.6200597394699966E-10</c:v>
                </c:pt>
                <c:pt idx="125">
                  <c:v>6.8557522279803927E-10</c:v>
                </c:pt>
                <c:pt idx="126">
                  <c:v>8.3186994423619466E-10</c:v>
                </c:pt>
                <c:pt idx="127">
                  <c:v>9.852193416887161E-10</c:v>
                </c:pt>
                <c:pt idx="128">
                  <c:v>1.1282894147283924E-9</c:v>
                </c:pt>
                <c:pt idx="129">
                  <c:v>1.2440260075486247E-9</c:v>
                </c:pt>
                <c:pt idx="130">
                  <c:v>1.3177401131922934E-9</c:v>
                </c:pt>
                <c:pt idx="131">
                  <c:v>1.3390915896954334E-9</c:v>
                </c:pt>
                <c:pt idx="132">
                  <c:v>1.3037086308395215E-9</c:v>
                </c:pt>
                <c:pt idx="133">
                  <c:v>1.2141921652480964E-9</c:v>
                </c:pt>
                <c:pt idx="134">
                  <c:v>1.0803012071303925E-9</c:v>
                </c:pt>
                <c:pt idx="135">
                  <c:v>9.1819783093856115E-10</c:v>
                </c:pt>
                <c:pt idx="136">
                  <c:v>7.4874457682205664E-10</c:v>
                </c:pt>
                <c:pt idx="137">
                  <c:v>5.9498215423544196E-10</c:v>
                </c:pt>
                <c:pt idx="138">
                  <c:v>4.7905432736430031E-10</c:v>
                </c:pt>
                <c:pt idx="139">
                  <c:v>4.1896788530245129E-10</c:v>
                </c:pt>
                <c:pt idx="140">
                  <c:v>4.2565481457366151E-10</c:v>
                </c:pt>
                <c:pt idx="141">
                  <c:v>5.008200328964528E-10</c:v>
                </c:pt>
                <c:pt idx="142">
                  <c:v>6.3599768111462761E-10</c:v>
                </c:pt>
                <c:pt idx="143">
                  <c:v>8.1309994585242128E-10</c:v>
                </c:pt>
                <c:pt idx="144">
                  <c:v>1.0065363444075537E-9</c:v>
                </c:pt>
                <c:pt idx="145">
                  <c:v>1.1867333533978023E-9</c:v>
                </c:pt>
                <c:pt idx="146">
                  <c:v>1.3246298748259229E-9</c:v>
                </c:pt>
                <c:pt idx="147">
                  <c:v>1.3965052210199035E-9</c:v>
                </c:pt>
                <c:pt idx="148">
                  <c:v>1.3886433630449517E-9</c:v>
                </c:pt>
                <c:pt idx="149">
                  <c:v>1.2993222967608008E-9</c:v>
                </c:pt>
                <c:pt idx="150">
                  <c:v>1.1415805541724066E-9</c:v>
                </c:pt>
                <c:pt idx="151">
                  <c:v>9.4100518514525229E-10</c:v>
                </c:pt>
                <c:pt idx="152">
                  <c:v>7.3227987265031224E-10</c:v>
                </c:pt>
                <c:pt idx="153">
                  <c:v>5.5347126253049209E-10</c:v>
                </c:pt>
                <c:pt idx="154">
                  <c:v>4.3913249216526291E-10</c:v>
                </c:pt>
                <c:pt idx="155">
                  <c:v>4.1343403637921451E-10</c:v>
                </c:pt>
                <c:pt idx="156">
                  <c:v>4.8469168831918253E-10</c:v>
                </c:pt>
                <c:pt idx="157">
                  <c:v>6.4255836366665739E-10</c:v>
                </c:pt>
                <c:pt idx="158">
                  <c:v>8.5875756848651691E-10</c:v>
                </c:pt>
                <c:pt idx="159">
                  <c:v>1.0916000719385331E-9</c:v>
                </c:pt>
                <c:pt idx="160">
                  <c:v>1.2937426647348277E-9</c:v>
                </c:pt>
                <c:pt idx="161">
                  <c:v>1.4218699424525305E-9</c:v>
                </c:pt>
                <c:pt idx="162">
                  <c:v>1.4463822774580772E-9</c:v>
                </c:pt>
                <c:pt idx="163">
                  <c:v>1.3589208960679578E-9</c:v>
                </c:pt>
                <c:pt idx="164">
                  <c:v>1.1757711228198589E-9</c:v>
                </c:pt>
                <c:pt idx="165">
                  <c:v>9.3588891709887732E-10</c:v>
                </c:pt>
                <c:pt idx="166">
                  <c:v>6.9341250584027166E-10</c:v>
                </c:pt>
                <c:pt idx="167">
                  <c:v>5.0584811385825567E-10</c:v>
                </c:pt>
                <c:pt idx="168">
                  <c:v>4.203559931656656E-10</c:v>
                </c:pt>
                <c:pt idx="169">
                  <c:v>4.6136942534039563E-10</c:v>
                </c:pt>
                <c:pt idx="170">
                  <c:v>6.2286189727532315E-10</c:v>
                </c:pt>
                <c:pt idx="171">
                  <c:v>8.6778707451400022E-10</c:v>
                </c:pt>
                <c:pt idx="172">
                  <c:v>1.1356220535313681E-9</c:v>
                </c:pt>
                <c:pt idx="173">
                  <c:v>1.3568581345830959E-9</c:v>
                </c:pt>
                <c:pt idx="174">
                  <c:v>1.4712134124356844E-9</c:v>
                </c:pt>
                <c:pt idx="175">
                  <c:v>1.4448823541823007E-9</c:v>
                </c:pt>
                <c:pt idx="176">
                  <c:v>1.281813705281009E-9</c:v>
                </c:pt>
                <c:pt idx="177">
                  <c:v>1.0251064189481002E-9</c:v>
                </c:pt>
                <c:pt idx="178">
                  <c:v>7.470470306024886E-10</c:v>
                </c:pt>
                <c:pt idx="179">
                  <c:v>5.295640544951772E-10</c:v>
                </c:pt>
                <c:pt idx="180">
                  <c:v>4.4006471268323217E-10</c:v>
                </c:pt>
                <c:pt idx="181">
                  <c:v>5.0970909216610765E-10</c:v>
                </c:pt>
                <c:pt idx="182">
                  <c:v>7.212905266361932E-10</c:v>
                </c:pt>
                <c:pt idx="183">
                  <c:v>1.011655059007415E-9</c:v>
                </c:pt>
                <c:pt idx="184">
                  <c:v>1.2893749634692764E-9</c:v>
                </c:pt>
                <c:pt idx="185">
                  <c:v>1.4633203510696115E-9</c:v>
                </c:pt>
                <c:pt idx="186">
                  <c:v>1.4734848349746764E-9</c:v>
                </c:pt>
                <c:pt idx="187">
                  <c:v>1.3135682696949523E-9</c:v>
                </c:pt>
                <c:pt idx="188">
                  <c:v>1.0364704491941728E-9</c:v>
                </c:pt>
                <c:pt idx="189">
                  <c:v>7.3897415450618081E-10</c:v>
                </c:pt>
                <c:pt idx="190">
                  <c:v>5.2914563266740431E-10</c:v>
                </c:pt>
                <c:pt idx="191">
                  <c:v>4.8693057680626113E-10</c:v>
                </c:pt>
                <c:pt idx="192">
                  <c:v>6.323078873614607E-10</c:v>
                </c:pt>
                <c:pt idx="193">
                  <c:v>9.1413123597962881E-10</c:v>
                </c:pt>
                <c:pt idx="194">
                  <c:v>1.2261084131350306E-9</c:v>
                </c:pt>
                <c:pt idx="195">
                  <c:v>1.4465007943083883E-9</c:v>
                </c:pt>
                <c:pt idx="196">
                  <c:v>1.4853083105460371E-9</c:v>
                </c:pt>
                <c:pt idx="197">
                  <c:v>1.3253724581807719E-9</c:v>
                </c:pt>
                <c:pt idx="198">
                  <c:v>1.0322883774274089E-9</c:v>
                </c:pt>
                <c:pt idx="199">
                  <c:v>7.3096035803099538E-10</c:v>
                </c:pt>
                <c:pt idx="200">
                  <c:v>5.5407185777344356E-10</c:v>
                </c:pt>
                <c:pt idx="201">
                  <c:v>5.833377768011927E-10</c:v>
                </c:pt>
                <c:pt idx="202">
                  <c:v>8.0978328786923862E-10</c:v>
                </c:pt>
                <c:pt idx="203">
                  <c:v>1.1333177153347032E-9</c:v>
                </c:pt>
                <c:pt idx="204">
                  <c:v>1.405362310391871E-9</c:v>
                </c:pt>
                <c:pt idx="205">
                  <c:v>1.4977708419710907E-9</c:v>
                </c:pt>
                <c:pt idx="206">
                  <c:v>1.3664295422801532E-9</c:v>
                </c:pt>
                <c:pt idx="207">
                  <c:v>1.0771704085856397E-9</c:v>
                </c:pt>
                <c:pt idx="208">
                  <c:v>7.7748734653201732E-10</c:v>
                </c:pt>
                <c:pt idx="209">
                  <c:v>6.2410595968605986E-10</c:v>
                </c:pt>
                <c:pt idx="210">
                  <c:v>7.010142393512468E-10</c:v>
                </c:pt>
                <c:pt idx="211">
                  <c:v>9.7135590970231385E-10</c:v>
                </c:pt>
                <c:pt idx="212">
                  <c:v>1.2924078615040919E-9</c:v>
                </c:pt>
                <c:pt idx="213">
                  <c:v>1.490431090050528E-9</c:v>
                </c:pt>
                <c:pt idx="214">
                  <c:v>1.4576253329518202E-9</c:v>
                </c:pt>
                <c:pt idx="215">
                  <c:v>1.2167615603708447E-9</c:v>
                </c:pt>
                <c:pt idx="216">
                  <c:v>9.1282125016441501E-10</c:v>
                </c:pt>
                <c:pt idx="217">
                  <c:v>7.310189837489782E-10</c:v>
                </c:pt>
                <c:pt idx="218">
                  <c:v>7.8573316253654868E-10</c:v>
                </c:pt>
                <c:pt idx="219">
                  <c:v>1.0473090552025325E-9</c:v>
                </c:pt>
                <c:pt idx="220">
                  <c:v>1.3559093599859873E-9</c:v>
                </c:pt>
                <c:pt idx="221">
                  <c:v>1.5197752310013873E-9</c:v>
                </c:pt>
                <c:pt idx="222">
                  <c:v>1.4393705505193112E-9</c:v>
                </c:pt>
                <c:pt idx="223">
                  <c:v>1.1762380955163482E-9</c:v>
                </c:pt>
                <c:pt idx="224">
                  <c:v>9.1595328437970468E-10</c:v>
                </c:pt>
                <c:pt idx="225">
                  <c:v>8.4375220179116117E-10</c:v>
                </c:pt>
                <c:pt idx="226">
                  <c:v>1.0147716475462327E-9</c:v>
                </c:pt>
                <c:pt idx="227">
                  <c:v>1.3116134769391124E-9</c:v>
                </c:pt>
                <c:pt idx="228">
                  <c:v>1.5256337234469795E-9</c:v>
                </c:pt>
                <c:pt idx="229">
                  <c:v>1.5090801477917385E-9</c:v>
                </c:pt>
                <c:pt idx="230">
                  <c:v>1.2872826833645736E-9</c:v>
                </c:pt>
                <c:pt idx="231">
                  <c:v>1.0423511935370654E-9</c:v>
                </c:pt>
                <c:pt idx="232">
                  <c:v>9.7401925728364012E-10</c:v>
                </c:pt>
                <c:pt idx="233">
                  <c:v>1.141814350996832E-9</c:v>
                </c:pt>
                <c:pt idx="234">
                  <c:v>1.4153907025519755E-9</c:v>
                </c:pt>
                <c:pt idx="235">
                  <c:v>1.5793095876011488E-9</c:v>
                </c:pt>
                <c:pt idx="236">
                  <c:v>1.5118254434274E-9</c:v>
                </c:pt>
                <c:pt idx="237">
                  <c:v>1.2886725562608331E-9</c:v>
                </c:pt>
                <c:pt idx="238">
                  <c:v>1.1186376474111954E-9</c:v>
                </c:pt>
                <c:pt idx="239">
                  <c:v>1.1607995392678161E-9</c:v>
                </c:pt>
                <c:pt idx="240">
                  <c:v>1.3826961951259741E-9</c:v>
                </c:pt>
                <c:pt idx="241">
                  <c:v>1.5902173543354379E-9</c:v>
                </c:pt>
                <c:pt idx="242">
                  <c:v>1.6073274114822633E-9</c:v>
                </c:pt>
                <c:pt idx="243">
                  <c:v>1.4409118762670872E-9</c:v>
                </c:pt>
                <c:pt idx="244">
                  <c:v>1.2723731422155331E-9</c:v>
                </c:pt>
                <c:pt idx="245">
                  <c:v>1.2796921762129417E-9</c:v>
                </c:pt>
                <c:pt idx="246">
                  <c:v>1.4622474428074375E-9</c:v>
                </c:pt>
                <c:pt idx="247">
                  <c:v>1.64474354841199E-9</c:v>
                </c:pt>
                <c:pt idx="248">
                  <c:v>1.6592326815808906E-9</c:v>
                </c:pt>
                <c:pt idx="249">
                  <c:v>1.5184501592032809E-9</c:v>
                </c:pt>
                <c:pt idx="250">
                  <c:v>1.3973349989722648E-9</c:v>
                </c:pt>
                <c:pt idx="251">
                  <c:v>1.4413011052007719E-9</c:v>
                </c:pt>
                <c:pt idx="252">
                  <c:v>1.609728844339703E-9</c:v>
                </c:pt>
                <c:pt idx="253">
                  <c:v>1.7279282746023206E-9</c:v>
                </c:pt>
                <c:pt idx="254">
                  <c:v>1.6881041153134386E-9</c:v>
                </c:pt>
                <c:pt idx="255">
                  <c:v>1.5684707703732714E-9</c:v>
                </c:pt>
                <c:pt idx="256">
                  <c:v>1.5335259405655557E-9</c:v>
                </c:pt>
                <c:pt idx="257">
                  <c:v>1.6368378194593398E-9</c:v>
                </c:pt>
                <c:pt idx="258">
                  <c:v>1.7642322292245575E-9</c:v>
                </c:pt>
                <c:pt idx="259">
                  <c:v>1.7823493875077331E-9</c:v>
                </c:pt>
                <c:pt idx="260">
                  <c:v>1.70289856461495E-9</c:v>
                </c:pt>
                <c:pt idx="261">
                  <c:v>1.6569254082411547E-9</c:v>
                </c:pt>
                <c:pt idx="262">
                  <c:v>1.7201983247499538E-9</c:v>
                </c:pt>
                <c:pt idx="263">
                  <c:v>1.8215947631709762E-9</c:v>
                </c:pt>
                <c:pt idx="264">
                  <c:v>1.8490280103783481E-9</c:v>
                </c:pt>
                <c:pt idx="265">
                  <c:v>1.8002942036815785E-9</c:v>
                </c:pt>
                <c:pt idx="266">
                  <c:v>1.7737741127165965E-9</c:v>
                </c:pt>
                <c:pt idx="267">
                  <c:v>1.8243918042331325E-9</c:v>
                </c:pt>
                <c:pt idx="268">
                  <c:v>1.8945023821989714E-9</c:v>
                </c:pt>
                <c:pt idx="269">
                  <c:v>1.9085068861380985E-9</c:v>
                </c:pt>
                <c:pt idx="270">
                  <c:v>1.8805390626809967E-9</c:v>
                </c:pt>
                <c:pt idx="271">
                  <c:v>1.8803878905441474E-9</c:v>
                </c:pt>
                <c:pt idx="272">
                  <c:v>1.9249433112524365E-9</c:v>
                </c:pt>
                <c:pt idx="273">
                  <c:v>1.9636074947200971E-9</c:v>
                </c:pt>
                <c:pt idx="274">
                  <c:v>1.9646467084396175E-9</c:v>
                </c:pt>
                <c:pt idx="275">
                  <c:v>1.9573382402147702E-9</c:v>
                </c:pt>
                <c:pt idx="276">
                  <c:v>1.9749888037484765E-9</c:v>
                </c:pt>
                <c:pt idx="277">
                  <c:v>2.0048083399081646E-9</c:v>
                </c:pt>
                <c:pt idx="278">
                  <c:v>2.0192435317732651E-9</c:v>
                </c:pt>
                <c:pt idx="279">
                  <c:v>2.0210649359662535E-9</c:v>
                </c:pt>
                <c:pt idx="280">
                  <c:v>2.0293896173875661E-9</c:v>
                </c:pt>
                <c:pt idx="281">
                  <c:v>2.0456557399226084E-9</c:v>
                </c:pt>
                <c:pt idx="282">
                  <c:v>2.0584381057849629E-9</c:v>
                </c:pt>
                <c:pt idx="283">
                  <c:v>2.0654685065992224E-9</c:v>
                </c:pt>
                <c:pt idx="284">
                  <c:v>2.0722528575968067E-9</c:v>
                </c:pt>
                <c:pt idx="285">
                  <c:v>2.0801879918090709E-9</c:v>
                </c:pt>
                <c:pt idx="286">
                  <c:v>2.0872430846413989E-9</c:v>
                </c:pt>
                <c:pt idx="287">
                  <c:v>2.0928170277768706E-9</c:v>
                </c:pt>
                <c:pt idx="288">
                  <c:v>2.0974688936234337E-9</c:v>
                </c:pt>
                <c:pt idx="289">
                  <c:v>2.1013605979115237E-9</c:v>
                </c:pt>
                <c:pt idx="290">
                  <c:v>2.1030668506717559E-9</c:v>
                </c:pt>
                <c:pt idx="291">
                  <c:v>2.1022850357324495E-9</c:v>
                </c:pt>
                <c:pt idx="292">
                  <c:v>2.1033179148224652E-9</c:v>
                </c:pt>
                <c:pt idx="293">
                  <c:v>2.1057986535570407E-9</c:v>
                </c:pt>
                <c:pt idx="294">
                  <c:v>2.100311514563766E-9</c:v>
                </c:pt>
                <c:pt idx="295">
                  <c:v>2.0901142725466779E-9</c:v>
                </c:pt>
                <c:pt idx="296">
                  <c:v>2.0904759164779204E-9</c:v>
                </c:pt>
                <c:pt idx="297">
                  <c:v>2.0905156705975585E-9</c:v>
                </c:pt>
                <c:pt idx="298">
                  <c:v>2.0709269710472135E-9</c:v>
                </c:pt>
                <c:pt idx="299">
                  <c:v>2.0556611584032983E-9</c:v>
                </c:pt>
                <c:pt idx="300">
                  <c:v>2.0607686411536103E-9</c:v>
                </c:pt>
                <c:pt idx="301">
                  <c:v>2.0457697130799696E-9</c:v>
                </c:pt>
                <c:pt idx="302">
                  <c:v>2.0105765822983734E-9</c:v>
                </c:pt>
                <c:pt idx="303">
                  <c:v>2.0070964645092161E-9</c:v>
                </c:pt>
                <c:pt idx="304">
                  <c:v>2.0047986800233694E-9</c:v>
                </c:pt>
                <c:pt idx="305">
                  <c:v>1.9588368642197377E-9</c:v>
                </c:pt>
                <c:pt idx="306">
                  <c:v>1.9352850315524842E-9</c:v>
                </c:pt>
                <c:pt idx="307">
                  <c:v>1.9418243356457474E-9</c:v>
                </c:pt>
                <c:pt idx="308">
                  <c:v>1.8959221212480449E-9</c:v>
                </c:pt>
                <c:pt idx="309">
                  <c:v>1.8508228423964544E-9</c:v>
                </c:pt>
                <c:pt idx="310">
                  <c:v>1.858182523157879E-9</c:v>
                </c:pt>
                <c:pt idx="311">
                  <c:v>1.816440957674795E-9</c:v>
                </c:pt>
                <c:pt idx="312">
                  <c:v>1.7548508332942236E-9</c:v>
                </c:pt>
                <c:pt idx="313">
                  <c:v>1.7579308587554628E-9</c:v>
                </c:pt>
                <c:pt idx="314">
                  <c:v>1.7169020231535922E-9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1060</c:v>
                </c:pt>
                <c:pt idx="1">
                  <c:v>1064</c:v>
                </c:pt>
                <c:pt idx="2">
                  <c:v>1068</c:v>
                </c:pt>
                <c:pt idx="3">
                  <c:v>1072</c:v>
                </c:pt>
                <c:pt idx="4">
                  <c:v>1076</c:v>
                </c:pt>
                <c:pt idx="5">
                  <c:v>1080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4.3396404544231864</c:v>
                </c:pt>
                <c:pt idx="1">
                  <c:v>3.2174498319464582</c:v>
                </c:pt>
                <c:pt idx="2">
                  <c:v>2.422656728940952</c:v>
                </c:pt>
                <c:pt idx="3">
                  <c:v>1.9616383283589653</c:v>
                </c:pt>
                <c:pt idx="4">
                  <c:v>1.8320707082334426</c:v>
                </c:pt>
                <c:pt idx="5">
                  <c:v>2.0247238601033737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40</c:v>
                </c:pt>
                <c:pt idx="1">
                  <c:v>48</c:v>
                </c:pt>
                <c:pt idx="2">
                  <c:v>56</c:v>
                </c:pt>
                <c:pt idx="3">
                  <c:v>64</c:v>
                </c:pt>
                <c:pt idx="4">
                  <c:v>72</c:v>
                </c:pt>
                <c:pt idx="5">
                  <c:v>80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2.3430268954703424</c:v>
                </c:pt>
                <c:pt idx="1">
                  <c:v>2.0006892136038736</c:v>
                </c:pt>
                <c:pt idx="2">
                  <c:v>1.8266862606523653</c:v>
                </c:pt>
                <c:pt idx="3">
                  <c:v>1.8073367258333082</c:v>
                </c:pt>
                <c:pt idx="4">
                  <c:v>1.9211451986401558</c:v>
                </c:pt>
                <c:pt idx="5">
                  <c:v>2.1347684996152014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0.08</c:v>
                </c:pt>
                <c:pt idx="1">
                  <c:v>0.10200000000000001</c:v>
                </c:pt>
                <c:pt idx="2">
                  <c:v>0.124</c:v>
                </c:pt>
                <c:pt idx="3">
                  <c:v>0.14599999999999999</c:v>
                </c:pt>
                <c:pt idx="4">
                  <c:v>0.16799999999999998</c:v>
                </c:pt>
                <c:pt idx="5">
                  <c:v>0.19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2.4301424692377354</c:v>
                </c:pt>
                <c:pt idx="1">
                  <c:v>1.9552667819656409</c:v>
                </c:pt>
                <c:pt idx="2">
                  <c:v>1.7773899942969142</c:v>
                </c:pt>
                <c:pt idx="3">
                  <c:v>1.9351821111253709</c:v>
                </c:pt>
                <c:pt idx="4">
                  <c:v>2.4691277826860016</c:v>
                </c:pt>
                <c:pt idx="5">
                  <c:v>3.4215428339881586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-1.7999999999999999E-2</c:v>
                </c:pt>
                <c:pt idx="2">
                  <c:v>-5.9999999999999984E-3</c:v>
                </c:pt>
                <c:pt idx="3">
                  <c:v>6.0000000000000019E-3</c:v>
                </c:pt>
                <c:pt idx="4">
                  <c:v>1.8000000000000002E-2</c:v>
                </c:pt>
                <c:pt idx="5">
                  <c:v>3.0000000000000002E-2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3.3825275256597434</c:v>
                </c:pt>
                <c:pt idx="1">
                  <c:v>2.6257106490164777</c:v>
                </c:pt>
                <c:pt idx="2">
                  <c:v>2.0913692425848143</c:v>
                </c:pt>
                <c:pt idx="3">
                  <c:v>1.803655040038413</c:v>
                </c:pt>
                <c:pt idx="4">
                  <c:v>1.7914631230687779</c:v>
                </c:pt>
                <c:pt idx="5">
                  <c:v>2.064303286943439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2.3143308767419914</c:v>
                </c:pt>
                <c:pt idx="1">
                  <c:v>1.969639183965944</c:v>
                </c:pt>
                <c:pt idx="2">
                  <c:v>1.7445905283203189</c:v>
                </c:pt>
                <c:pt idx="3">
                  <c:v>1.8389530719014295</c:v>
                </c:pt>
                <c:pt idx="4">
                  <c:v>2.3170022907154837</c:v>
                </c:pt>
                <c:pt idx="5">
                  <c:v>3.1622186812322717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</c:v>
                </c:pt>
                <c:pt idx="1">
                  <c:v>30</c:v>
                </c:pt>
                <c:pt idx="2">
                  <c:v>55</c:v>
                </c:pt>
                <c:pt idx="3">
                  <c:v>80</c:v>
                </c:pt>
                <c:pt idx="4">
                  <c:v>105</c:v>
                </c:pt>
                <c:pt idx="5">
                  <c:v>130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2.0580741712788542</c:v>
                </c:pt>
                <c:pt idx="1">
                  <c:v>1.8713368840215403</c:v>
                </c:pt>
                <c:pt idx="2">
                  <c:v>1.7528657190948742</c:v>
                </c:pt>
                <c:pt idx="3">
                  <c:v>1.7623950698251298</c:v>
                </c:pt>
                <c:pt idx="4">
                  <c:v>1.8365951499032762</c:v>
                </c:pt>
                <c:pt idx="5">
                  <c:v>1.9295732675945994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2.03E-6</c:v>
                </c:pt>
                <c:pt idx="1">
                  <c:v>2.0540000000000002E-6</c:v>
                </c:pt>
                <c:pt idx="2">
                  <c:v>2.0780000000000003E-6</c:v>
                </c:pt>
                <c:pt idx="3">
                  <c:v>2.1019999999999999E-6</c:v>
                </c:pt>
                <c:pt idx="4">
                  <c:v>2.1260000000000001E-6</c:v>
                </c:pt>
                <c:pt idx="5">
                  <c:v>2.1500000000000002E-6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2.1343959195299282</c:v>
                </c:pt>
                <c:pt idx="1">
                  <c:v>1.8324781820480596</c:v>
                </c:pt>
                <c:pt idx="2">
                  <c:v>1.7501437589172899</c:v>
                </c:pt>
                <c:pt idx="3">
                  <c:v>1.9601109704598223</c:v>
                </c:pt>
                <c:pt idx="4">
                  <c:v>2.598689500415087</c:v>
                </c:pt>
                <c:pt idx="5">
                  <c:v>4.0951540925031589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2.03E-6</c:v>
                </c:pt>
                <c:pt idx="2">
                  <c:v>2.0600000000000002E-6</c:v>
                </c:pt>
                <c:pt idx="3">
                  <c:v>2.0899999999999999E-6</c:v>
                </c:pt>
                <c:pt idx="4">
                  <c:v>2.12E-6</c:v>
                </c:pt>
                <c:pt idx="5">
                  <c:v>2.1500000000000002E-6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2.1798733370026393</c:v>
                </c:pt>
                <c:pt idx="1">
                  <c:v>1.9449715645394783</c:v>
                </c:pt>
                <c:pt idx="2">
                  <c:v>1.8115679709580463</c:v>
                </c:pt>
                <c:pt idx="3">
                  <c:v>1.7872559241785484</c:v>
                </c:pt>
                <c:pt idx="4">
                  <c:v>1.8798372320597427</c:v>
                </c:pt>
                <c:pt idx="5">
                  <c:v>2.097323258609729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1.77E-6</c:v>
                </c:pt>
                <c:pt idx="1">
                  <c:v>1.79E-6</c:v>
                </c:pt>
                <c:pt idx="2">
                  <c:v>1.81E-6</c:v>
                </c:pt>
                <c:pt idx="3">
                  <c:v>1.8300000000000001E-6</c:v>
                </c:pt>
                <c:pt idx="4">
                  <c:v>1.8500000000000001E-6</c:v>
                </c:pt>
                <c:pt idx="5">
                  <c:v>1.8700000000000001E-6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1.9782582108234583</c:v>
                </c:pt>
                <c:pt idx="1">
                  <c:v>1.8126457397271389</c:v>
                </c:pt>
                <c:pt idx="2">
                  <c:v>1.7747425522751656</c:v>
                </c:pt>
                <c:pt idx="3">
                  <c:v>1.868700832953347</c:v>
                </c:pt>
                <c:pt idx="4">
                  <c:v>2.096971783919813</c:v>
                </c:pt>
                <c:pt idx="5">
                  <c:v>2.4503944411844585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B5B1C590-D3A5-4723-AB6C-8F83EBFB5EC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G46" sqref="G46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SUM(Y3:Y317)/314</f>
        <v>1.7719577505269444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8.4303868303500003E-3</v>
      </c>
      <c r="J3" s="109">
        <v>5.4282719109045083E-9</v>
      </c>
      <c r="K3" s="109">
        <v>5.6066516988620784E-10</v>
      </c>
      <c r="L3" s="152">
        <v>5.0042880388723169E-9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5.004116916544009E-9</v>
      </c>
      <c r="V3" s="127">
        <v>5.0042880388723169E-9</v>
      </c>
      <c r="W3" s="128">
        <v>5.0044652944535099E-9</v>
      </c>
      <c r="X3" s="128">
        <f t="shared" ref="X3:X66" si="0">(U3+2*V3+W3)/4</f>
        <v>5.0042895721855384E-9</v>
      </c>
      <c r="Y3" s="139">
        <f t="shared" ref="Y3:Y66" si="1">(J3-X3)*(J3-X3)/(K3*K3)</f>
        <v>0.57185823248053602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2.0740527012235278E-6</v>
      </c>
      <c r="D4" s="19">
        <v>9.9999999999999994E-12</v>
      </c>
      <c r="E4" s="19">
        <v>5.0000000000000001E-9</v>
      </c>
      <c r="F4" s="149">
        <f>H4*H8</f>
        <v>62.11529984911413</v>
      </c>
      <c r="G4" s="107">
        <v>15.045796548587383</v>
      </c>
      <c r="H4" s="107">
        <v>62.11529984911413</v>
      </c>
      <c r="I4" s="109">
        <v>8.5146906986500008E-3</v>
      </c>
      <c r="J4" s="109">
        <v>6.1774587462842703E-9</v>
      </c>
      <c r="K4" s="109">
        <v>4.8818433912187309E-10</v>
      </c>
      <c r="L4" s="152">
        <v>5.2048380891051353E-9</v>
      </c>
      <c r="M4" s="27"/>
      <c r="N4" s="18">
        <v>8.1138308469401536E-9</v>
      </c>
      <c r="O4" s="18">
        <v>3.9120658998460512E-14</v>
      </c>
      <c r="P4" s="18">
        <v>1.9560329499230255E-11</v>
      </c>
      <c r="Q4" s="28">
        <v>5.1790086835365887</v>
      </c>
      <c r="R4" s="60">
        <v>100</v>
      </c>
      <c r="S4" s="57">
        <v>0</v>
      </c>
      <c r="U4" s="127">
        <v>5.2046734094211383E-9</v>
      </c>
      <c r="V4" s="127">
        <v>5.2048380891051353E-9</v>
      </c>
      <c r="W4" s="128">
        <v>5.2050103681156244E-9</v>
      </c>
      <c r="X4" s="128">
        <f t="shared" si="0"/>
        <v>5.2048399889367583E-9</v>
      </c>
      <c r="Y4" s="139">
        <f t="shared" si="1"/>
        <v>3.9693335531615839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1.8151522155430334E-6</v>
      </c>
      <c r="D5" s="101">
        <v>1.5392483148537927E-10</v>
      </c>
      <c r="E5" s="101">
        <v>5.0509225500401457E-8</v>
      </c>
      <c r="F5" s="149">
        <f>(H10-H4)*H8</f>
        <v>1013.4951913486134</v>
      </c>
      <c r="G5" s="107">
        <f>F4</f>
        <v>62.11529984911413</v>
      </c>
      <c r="H5" s="111" t="s">
        <v>599</v>
      </c>
      <c r="I5" s="109">
        <v>8.5998376056400008E-3</v>
      </c>
      <c r="J5" s="109">
        <v>6.3631192594480011E-9</v>
      </c>
      <c r="K5" s="109">
        <v>4.5614797276025546E-10</v>
      </c>
      <c r="L5" s="152">
        <v>5.4130752661685241E-9</v>
      </c>
      <c r="M5" s="27"/>
      <c r="N5" s="18">
        <v>6.6835971342790003E-8</v>
      </c>
      <c r="O5" s="18">
        <v>3.2224818252381934E-13</v>
      </c>
      <c r="P5" s="18">
        <v>1.6112409126190968E-10</v>
      </c>
      <c r="Q5" s="28">
        <v>3.856505095561686</v>
      </c>
      <c r="R5" s="60">
        <v>100</v>
      </c>
      <c r="S5" s="57">
        <v>8.1138308469401536E-9</v>
      </c>
      <c r="U5" s="127">
        <v>5.4129231392920607E-9</v>
      </c>
      <c r="V5" s="127">
        <v>5.4130752661685241E-9</v>
      </c>
      <c r="W5" s="128">
        <v>5.4132367909142809E-9</v>
      </c>
      <c r="X5" s="128">
        <f t="shared" si="0"/>
        <v>5.4130776156358479E-9</v>
      </c>
      <c r="Y5" s="139">
        <f t="shared" si="1"/>
        <v>4.3378425723329102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8.4383076650543174E-7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0.02</v>
      </c>
      <c r="I6" s="109">
        <v>8.6858359817000002E-3</v>
      </c>
      <c r="J6" s="109">
        <v>5.4921407547243708E-9</v>
      </c>
      <c r="K6" s="109">
        <v>4.0383227261008893E-10</v>
      </c>
      <c r="L6" s="152">
        <v>5.6291983691085222E-9</v>
      </c>
      <c r="M6" s="27"/>
      <c r="N6" s="18">
        <v>1.5178636507946308E-7</v>
      </c>
      <c r="O6" s="18">
        <v>7.318346587332186E-13</v>
      </c>
      <c r="P6" s="18">
        <v>3.6591732936660931E-10</v>
      </c>
      <c r="Q6" s="28">
        <v>2.1460637748190146</v>
      </c>
      <c r="R6" s="60">
        <v>105.17900868353659</v>
      </c>
      <c r="S6" s="57">
        <v>8.1138308469401536E-9</v>
      </c>
      <c r="U6" s="127">
        <v>5.6290676708523551E-9</v>
      </c>
      <c r="V6" s="127">
        <v>5.6291983691085222E-9</v>
      </c>
      <c r="W6" s="128">
        <v>5.629340671266867E-9</v>
      </c>
      <c r="X6" s="128">
        <f t="shared" si="0"/>
        <v>5.6292012700840668E-9</v>
      </c>
      <c r="Y6" s="139">
        <f t="shared" si="1"/>
        <v>0.11519209447883484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23.313779615057957</v>
      </c>
      <c r="G7" s="102">
        <v>5</v>
      </c>
      <c r="H7" s="134" t="s">
        <v>600</v>
      </c>
      <c r="I7" s="109">
        <v>8.7726943415100001E-3</v>
      </c>
      <c r="J7" s="109">
        <v>6.1007990816831822E-9</v>
      </c>
      <c r="K7" s="109">
        <v>4.2719324941879095E-10</v>
      </c>
      <c r="L7" s="152">
        <v>5.8533843676267859E-9</v>
      </c>
      <c r="M7" s="27"/>
      <c r="N7" s="18">
        <v>2.4791217988720964E-7</v>
      </c>
      <c r="O7" s="18">
        <v>1.1953031846344163E-12</v>
      </c>
      <c r="P7" s="18">
        <v>5.9765159231720819E-10</v>
      </c>
      <c r="Q7" s="28">
        <v>1.5723540769339763</v>
      </c>
      <c r="R7" s="60">
        <v>105.17900868353659</v>
      </c>
      <c r="S7" s="57">
        <v>6.6835971342790003E-8</v>
      </c>
      <c r="U7" s="127">
        <v>5.8532880508079714E-9</v>
      </c>
      <c r="V7" s="127">
        <v>5.8533843676267859E-9</v>
      </c>
      <c r="W7" s="128">
        <v>5.8534949827728133E-9</v>
      </c>
      <c r="X7" s="128">
        <f t="shared" si="0"/>
        <v>5.8533879422085889E-9</v>
      </c>
      <c r="Y7" s="139">
        <f t="shared" si="1"/>
        <v>0.33542060379396749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2.0700937506185016E-6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8.86042128493E-3</v>
      </c>
      <c r="J8" s="109">
        <v>6.4913255189374444E-9</v>
      </c>
      <c r="K8" s="109">
        <v>4.3069041059926837E-10</v>
      </c>
      <c r="L8" s="152">
        <v>6.0857684565137988E-9</v>
      </c>
      <c r="M8" s="27"/>
      <c r="N8" s="18">
        <v>3.4935857634148448E-7</v>
      </c>
      <c r="O8" s="18">
        <v>1.6844247792517059E-12</v>
      </c>
      <c r="P8" s="18">
        <v>8.422123896258529E-10</v>
      </c>
      <c r="Q8" s="28">
        <v>1.2795602224773137</v>
      </c>
      <c r="R8" s="60">
        <v>109.03551377909828</v>
      </c>
      <c r="S8" s="57">
        <v>6.6835971342790003E-8</v>
      </c>
      <c r="U8" s="127">
        <v>6.0857256474947777E-9</v>
      </c>
      <c r="V8" s="127">
        <v>6.0857684565137988E-9</v>
      </c>
      <c r="W8" s="128">
        <v>6.0858288246867561E-9</v>
      </c>
      <c r="X8" s="128">
        <f t="shared" si="0"/>
        <v>6.0857728463022829E-9</v>
      </c>
      <c r="Y8" s="139">
        <f t="shared" si="1"/>
        <v>0.88667432121565148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8.9490254977800006E-3</v>
      </c>
      <c r="J9" s="109">
        <v>6.3933046938602272E-9</v>
      </c>
      <c r="K9" s="109">
        <v>4.1419826287266657E-10</v>
      </c>
      <c r="L9" s="152">
        <v>6.3264156992808848E-9</v>
      </c>
      <c r="M9" s="27"/>
      <c r="N9" s="18">
        <v>4.5344525542805532E-7</v>
      </c>
      <c r="O9" s="18">
        <v>2.1862764391693533E-12</v>
      </c>
      <c r="P9" s="18">
        <v>1.0931382195846767E-9</v>
      </c>
      <c r="Q9" s="28">
        <v>1.1049073560192151</v>
      </c>
      <c r="R9" s="60">
        <v>109.03551377909828</v>
      </c>
      <c r="S9" s="57">
        <v>1.5178636507946308E-7</v>
      </c>
      <c r="U9" s="127">
        <v>6.3264551364329866E-9</v>
      </c>
      <c r="V9" s="127">
        <v>6.3264156992808848E-9</v>
      </c>
      <c r="W9" s="128">
        <v>6.3263976964983245E-9</v>
      </c>
      <c r="X9" s="128">
        <f t="shared" si="0"/>
        <v>6.3264210578732706E-9</v>
      </c>
      <c r="Y9" s="139">
        <f t="shared" si="1"/>
        <v>2.6074933100032376E-2</v>
      </c>
      <c r="AA9" s="73"/>
      <c r="AB9" s="176"/>
      <c r="AC9" s="176"/>
      <c r="AD9" s="176"/>
      <c r="AJ9" s="135"/>
    </row>
    <row r="10" spans="1:36" x14ac:dyDescent="0.35">
      <c r="A10" s="69">
        <v>4.1246899590851829</v>
      </c>
      <c r="B10" s="100"/>
      <c r="C10" s="101"/>
      <c r="D10" s="101"/>
      <c r="E10" s="101"/>
      <c r="F10" s="102"/>
      <c r="G10" s="102"/>
      <c r="H10" s="107">
        <v>1075.6104911977275</v>
      </c>
      <c r="I10" s="109">
        <v>9.0385157527600006E-3</v>
      </c>
      <c r="J10" s="109">
        <v>6.4191219682176598E-9</v>
      </c>
      <c r="K10" s="109">
        <v>4.0057174146012814E-10</v>
      </c>
      <c r="L10" s="152">
        <v>6.575280266853619E-9</v>
      </c>
      <c r="M10" s="27"/>
      <c r="N10" s="18">
        <v>5.5883605714369235E-7</v>
      </c>
      <c r="O10" s="18">
        <v>2.694415897985731E-12</v>
      </c>
      <c r="P10" s="18">
        <v>1.3472079489928657E-9</v>
      </c>
      <c r="Q10" s="28">
        <v>0.99258579179281603</v>
      </c>
      <c r="R10" s="60">
        <v>111.18157755391729</v>
      </c>
      <c r="S10" s="57">
        <v>1.5178636507946308E-7</v>
      </c>
      <c r="U10" s="127">
        <v>6.5754460925047726E-9</v>
      </c>
      <c r="V10" s="127">
        <v>6.575280266853619E-9</v>
      </c>
      <c r="W10" s="128">
        <v>6.5751403103152617E-9</v>
      </c>
      <c r="X10" s="128">
        <f t="shared" si="0"/>
        <v>6.5752867341318177E-9</v>
      </c>
      <c r="Y10" s="139">
        <f t="shared" si="1"/>
        <v>0.15198666729436083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9.1289009102799995E-3</v>
      </c>
      <c r="J11" s="109">
        <v>6.9110196266489637E-9</v>
      </c>
      <c r="K11" s="109">
        <v>4.2368152702160832E-10</v>
      </c>
      <c r="L11" s="152">
        <v>6.8321376938518722E-9</v>
      </c>
      <c r="M11" s="27"/>
      <c r="N11" s="18">
        <v>6.648408291958237E-7</v>
      </c>
      <c r="O11" s="18">
        <v>3.2055156014291243E-12</v>
      </c>
      <c r="P11" s="18">
        <v>1.6027578007145623E-9</v>
      </c>
      <c r="Q11" s="28">
        <v>0.91814222965726322</v>
      </c>
      <c r="R11" s="60">
        <v>111.18157755391729</v>
      </c>
      <c r="S11" s="57">
        <v>2.4791217988720964E-7</v>
      </c>
      <c r="U11" s="127">
        <v>6.8324996094012237E-9</v>
      </c>
      <c r="V11" s="127">
        <v>6.8321376938518722E-9</v>
      </c>
      <c r="W11" s="128">
        <v>6.8318063006949722E-9</v>
      </c>
      <c r="X11" s="128">
        <f t="shared" si="0"/>
        <v>6.8321453244499844E-9</v>
      </c>
      <c r="Y11" s="139">
        <f t="shared" si="1"/>
        <v>3.4657082704531564E-2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9.2201899193900001E-3</v>
      </c>
      <c r="J12" s="109">
        <v>7.0805074499386679E-9</v>
      </c>
      <c r="K12" s="109">
        <v>4.2474816457687142E-10</v>
      </c>
      <c r="L12" s="152">
        <v>7.0964656746256316E-9</v>
      </c>
      <c r="M12" s="27"/>
      <c r="N12" s="18">
        <v>7.711058974474672E-7</v>
      </c>
      <c r="O12" s="18">
        <v>3.7178703173384912E-12</v>
      </c>
      <c r="P12" s="18">
        <v>1.8589351586692456E-9</v>
      </c>
      <c r="Q12" s="28">
        <v>0.86933253181282621</v>
      </c>
      <c r="R12" s="60">
        <v>112.75393163085127</v>
      </c>
      <c r="S12" s="57">
        <v>2.4791217988720964E-7</v>
      </c>
      <c r="U12" s="127">
        <v>7.0971376561674626E-9</v>
      </c>
      <c r="V12" s="127">
        <v>7.0964656746256316E-9</v>
      </c>
      <c r="W12" s="128">
        <v>7.0958279892198035E-9</v>
      </c>
      <c r="X12" s="128">
        <f t="shared" si="0"/>
        <v>7.0964742486596325E-9</v>
      </c>
      <c r="Y12" s="139">
        <f t="shared" si="1"/>
        <v>1.4130992939257118E-3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9.3123918185800004E-3</v>
      </c>
      <c r="J13" s="109">
        <v>7.2980613283917899E-9</v>
      </c>
      <c r="K13" s="109">
        <v>4.288640322802518E-10</v>
      </c>
      <c r="L13" s="152">
        <v>7.3672221717633895E-9</v>
      </c>
      <c r="M13" s="27"/>
      <c r="N13" s="18">
        <v>8.7746113138507483E-7</v>
      </c>
      <c r="O13" s="18">
        <v>4.2306597651421388E-12</v>
      </c>
      <c r="P13" s="18">
        <v>2.1153298825710695E-9</v>
      </c>
      <c r="Q13" s="28">
        <v>0.83960908757893049</v>
      </c>
      <c r="R13" s="60">
        <v>112.75393163085127</v>
      </c>
      <c r="S13" s="57">
        <v>3.4935857634148448E-7</v>
      </c>
      <c r="U13" s="127">
        <v>7.3683991753385465E-9</v>
      </c>
      <c r="V13" s="127">
        <v>7.3672221717633895E-9</v>
      </c>
      <c r="W13" s="128">
        <v>7.3660792263003416E-9</v>
      </c>
      <c r="X13" s="128">
        <f t="shared" si="0"/>
        <v>7.3672306862914168E-9</v>
      </c>
      <c r="Y13" s="139">
        <f t="shared" si="1"/>
        <v>2.6012868113252881E-2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1.3701415271707418</v>
      </c>
      <c r="I14" s="109">
        <v>9.4055157367700006E-3</v>
      </c>
      <c r="J14" s="109">
        <v>7.8165774213210161E-9</v>
      </c>
      <c r="K14" s="109">
        <v>3.3372488730846526E-10</v>
      </c>
      <c r="L14" s="152">
        <v>7.6424015450781427E-9</v>
      </c>
      <c r="M14" s="27"/>
      <c r="N14" s="18">
        <v>9.838371714002623E-7</v>
      </c>
      <c r="O14" s="18">
        <v>4.7435495289964222E-12</v>
      </c>
      <c r="P14" s="18">
        <v>2.3717747644982111E-9</v>
      </c>
      <c r="Q14" s="28">
        <v>0.82550507693863884</v>
      </c>
      <c r="R14" s="60">
        <v>114.03349185332858</v>
      </c>
      <c r="S14" s="57">
        <v>3.4935857634148448E-7</v>
      </c>
      <c r="U14" s="127">
        <v>7.6444374439468529E-9</v>
      </c>
      <c r="V14" s="127">
        <v>7.6424015450781427E-9</v>
      </c>
      <c r="W14" s="128">
        <v>7.6403865252447351E-9</v>
      </c>
      <c r="X14" s="128">
        <f t="shared" si="0"/>
        <v>7.6424067648369696E-9</v>
      </c>
      <c r="Y14" s="139">
        <f t="shared" si="1"/>
        <v>0.27237847713181751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645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9.4995708941299998E-3</v>
      </c>
      <c r="J15" s="109">
        <v>7.6139372535398386E-9</v>
      </c>
      <c r="K15" s="109">
        <v>3.1608495551999697E-10</v>
      </c>
      <c r="L15" s="152">
        <v>7.918055096633257E-9</v>
      </c>
      <c r="M15" s="27"/>
      <c r="N15" s="18">
        <v>1.1255697893475267E-6</v>
      </c>
      <c r="O15" s="18">
        <v>6.8730741373076125E-12</v>
      </c>
      <c r="P15" s="18">
        <v>3.1731037237099271E-9</v>
      </c>
      <c r="Q15" s="28">
        <v>1.4117113602071394</v>
      </c>
      <c r="R15" s="60">
        <v>114.03349185332858</v>
      </c>
      <c r="S15" s="57">
        <v>4.5344525542805532E-7</v>
      </c>
      <c r="U15" s="127">
        <v>7.9216460640227399E-9</v>
      </c>
      <c r="V15" s="127">
        <v>7.918055096633257E-9</v>
      </c>
      <c r="W15" s="128">
        <v>7.9144319064339391E-9</v>
      </c>
      <c r="X15" s="128">
        <f t="shared" si="0"/>
        <v>7.9180470409307978E-9</v>
      </c>
      <c r="Y15" s="139">
        <f t="shared" si="1"/>
        <v>0.92566351029424543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1.6199999999999999E-6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0.29996142000263898</v>
      </c>
      <c r="I16" s="109">
        <v>9.5945666030799997E-3</v>
      </c>
      <c r="J16" s="109">
        <v>8.1765309590322146E-9</v>
      </c>
      <c r="K16" s="109">
        <v>3.2239532135728715E-10</v>
      </c>
      <c r="L16" s="152">
        <v>8.1858728367154922E-9</v>
      </c>
      <c r="M16" s="27"/>
      <c r="N16" s="18">
        <v>1.3877783184321861E-6</v>
      </c>
      <c r="O16" s="18">
        <v>8.4772969245219983E-12</v>
      </c>
      <c r="P16" s="18">
        <v>3.9132824954577146E-9</v>
      </c>
      <c r="Q16" s="28">
        <v>2.8234227204142788</v>
      </c>
      <c r="R16" s="60">
        <v>115.1383992093478</v>
      </c>
      <c r="S16" s="57">
        <v>4.5344525542805532E-7</v>
      </c>
      <c r="U16" s="127">
        <v>8.192533762893531E-9</v>
      </c>
      <c r="V16" s="127">
        <v>8.1858728367154922E-9</v>
      </c>
      <c r="W16" s="128">
        <v>8.179004974416235E-9</v>
      </c>
      <c r="X16" s="128">
        <f t="shared" si="0"/>
        <v>8.1858211026851876E-9</v>
      </c>
      <c r="Y16" s="139">
        <f t="shared" si="1"/>
        <v>8.3036186900338894E-4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646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9.69051226911E-3</v>
      </c>
      <c r="J17" s="109">
        <v>8.454685657184307E-9</v>
      </c>
      <c r="K17" s="109">
        <v>3.2651005362798057E-10</v>
      </c>
      <c r="L17" s="152">
        <v>8.4275804795304758E-9</v>
      </c>
      <c r="M17" s="27"/>
      <c r="N17" s="18">
        <v>1.6789208545100008E-6</v>
      </c>
      <c r="O17" s="18">
        <v>1.0440594675697274E-11</v>
      </c>
      <c r="P17" s="18">
        <v>4.7930018069464172E-9</v>
      </c>
      <c r="Q17" s="28">
        <v>2.8234227204142788</v>
      </c>
      <c r="R17" s="60">
        <v>115.1383992093478</v>
      </c>
      <c r="S17" s="57">
        <v>5.5883605714369235E-7</v>
      </c>
      <c r="U17" s="127">
        <v>8.4407334643085946E-9</v>
      </c>
      <c r="V17" s="127">
        <v>8.4275804795304758E-9</v>
      </c>
      <c r="W17" s="128">
        <v>8.4137164226588633E-9</v>
      </c>
      <c r="X17" s="128">
        <f t="shared" si="0"/>
        <v>8.4274027115071023E-9</v>
      </c>
      <c r="Y17" s="139">
        <f t="shared" si="1"/>
        <v>6.982153623848227E-3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193.24</v>
      </c>
      <c r="D18" s="159">
        <v>44.06</v>
      </c>
      <c r="E18" s="159">
        <v>48.06</v>
      </c>
      <c r="F18" s="104"/>
      <c r="G18" s="104"/>
      <c r="H18" s="160">
        <v>0.12326570075215602</v>
      </c>
      <c r="I18" s="109">
        <v>9.7874173918000001E-3</v>
      </c>
      <c r="J18" s="109">
        <v>8.7452601913694292E-9</v>
      </c>
      <c r="K18" s="109">
        <v>3.3479384524219632E-10</v>
      </c>
      <c r="L18" s="152">
        <v>8.603549962186187E-9</v>
      </c>
      <c r="N18" s="18">
        <v>1.8765921356792157E-6</v>
      </c>
      <c r="O18" s="18">
        <v>1.2097146370541377E-11</v>
      </c>
      <c r="P18" s="18">
        <v>5.4931309600285528E-9</v>
      </c>
      <c r="Q18" s="28">
        <v>2.8234227204142788</v>
      </c>
      <c r="R18" s="60">
        <v>116.13098500114062</v>
      </c>
      <c r="S18" s="57">
        <v>5.5883605714369235E-7</v>
      </c>
      <c r="U18" s="127">
        <v>8.6299416264861278E-9</v>
      </c>
      <c r="V18" s="127">
        <v>8.603549962186187E-9</v>
      </c>
      <c r="W18" s="128">
        <v>8.5752975448159073E-9</v>
      </c>
      <c r="X18" s="128">
        <f t="shared" si="0"/>
        <v>8.6030847739186031E-9</v>
      </c>
      <c r="Y18" s="139">
        <f t="shared" si="1"/>
        <v>0.18034084210317797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9.8852915657199995E-3</v>
      </c>
      <c r="J19" s="109">
        <v>8.3184219957401151E-9</v>
      </c>
      <c r="K19" s="109">
        <v>4.9043150679957083E-10</v>
      </c>
      <c r="L19" s="152">
        <v>8.6422269391289319E-9</v>
      </c>
      <c r="N19" s="18">
        <v>1.9867904809602846E-6</v>
      </c>
      <c r="O19" s="18">
        <v>1.3502826592698842E-11</v>
      </c>
      <c r="P19" s="18">
        <v>6.0366973363771634E-9</v>
      </c>
      <c r="Q19" s="28">
        <v>2.8234227204142788</v>
      </c>
      <c r="R19" s="60">
        <v>116.13098500114062</v>
      </c>
      <c r="S19" s="57">
        <v>6.648408291958237E-7</v>
      </c>
      <c r="U19" s="127">
        <v>8.6885493774111462E-9</v>
      </c>
      <c r="V19" s="127">
        <v>8.6422269391289319E-9</v>
      </c>
      <c r="W19" s="128">
        <v>8.5924365842584174E-9</v>
      </c>
      <c r="X19" s="128">
        <f t="shared" si="0"/>
        <v>8.6413599599818556E-9</v>
      </c>
      <c r="Y19" s="139">
        <f t="shared" si="1"/>
        <v>0.4335922198386713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1.2461478861244468E-2</v>
      </c>
      <c r="I20" s="109">
        <v>9.9841444813699998E-3</v>
      </c>
      <c r="J20" s="109">
        <v>7.930587524378332E-9</v>
      </c>
      <c r="K20" s="109">
        <v>4.6590180671956714E-10</v>
      </c>
      <c r="L20" s="152">
        <v>8.4236402198548321E-9</v>
      </c>
      <c r="N20" s="18">
        <v>2.0366542886779835E-6</v>
      </c>
      <c r="O20" s="18">
        <v>1.481762189561235E-11</v>
      </c>
      <c r="P20" s="18">
        <v>6.4983861849221034E-9</v>
      </c>
      <c r="Q20" s="28">
        <v>2.8234227204142788</v>
      </c>
      <c r="R20" s="60">
        <v>117.04912723079788</v>
      </c>
      <c r="S20" s="57">
        <v>6.648408291958237E-7</v>
      </c>
      <c r="U20" s="127">
        <v>8.478733744704894E-9</v>
      </c>
      <c r="V20" s="127">
        <v>8.4236402198548321E-9</v>
      </c>
      <c r="W20" s="128">
        <v>8.3646618524993689E-9</v>
      </c>
      <c r="X20" s="128">
        <f t="shared" si="0"/>
        <v>8.4226690092284826E-9</v>
      </c>
      <c r="Y20" s="139">
        <f t="shared" si="1"/>
        <v>1.1155402886158605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1.0083985926200001E-2</v>
      </c>
      <c r="J21" s="109">
        <v>5.7370668269856079E-9</v>
      </c>
      <c r="K21" s="109">
        <v>3.9531855701874433E-10</v>
      </c>
      <c r="L21" s="152">
        <v>7.7380043423006824E-9</v>
      </c>
      <c r="M21" s="31"/>
      <c r="N21" s="18">
        <v>2.054080361389302E-6</v>
      </c>
      <c r="O21" s="18">
        <v>1.6206768164055406E-11</v>
      </c>
      <c r="P21" s="30">
        <v>6.9552172935483484E-9</v>
      </c>
      <c r="Q21" s="65">
        <v>2.8234227204142788</v>
      </c>
      <c r="R21" s="62">
        <v>117.04912723079788</v>
      </c>
      <c r="S21" s="61">
        <v>7.711058974474672E-7</v>
      </c>
      <c r="T21" s="75"/>
      <c r="U21" s="127">
        <v>7.7543540655572795E-9</v>
      </c>
      <c r="V21" s="127">
        <v>7.7380043423006824E-9</v>
      </c>
      <c r="W21" s="128">
        <v>7.7201795157690221E-9</v>
      </c>
      <c r="X21" s="128">
        <f t="shared" si="0"/>
        <v>7.7376355664819162E-9</v>
      </c>
      <c r="Y21" s="139">
        <f t="shared" si="1"/>
        <v>25.61017545050052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1.01848257854E-2</v>
      </c>
      <c r="J22" s="109">
        <v>5.3470574169230788E-9</v>
      </c>
      <c r="K22" s="109">
        <v>3.8403731322970598E-10</v>
      </c>
      <c r="L22" s="152">
        <v>6.4055509857828857E-9</v>
      </c>
      <c r="N22" s="18">
        <v>2.0574455705923254E-6</v>
      </c>
      <c r="O22" s="18">
        <v>1.7790385775048094E-11</v>
      </c>
      <c r="P22" s="18">
        <v>7.4615097674729771E-9</v>
      </c>
      <c r="Q22" s="28">
        <v>2.8234227204142788</v>
      </c>
      <c r="R22" s="60">
        <v>117.91845976261071</v>
      </c>
      <c r="S22" s="57">
        <v>7.711058974474672E-7</v>
      </c>
      <c r="U22" s="127">
        <v>6.3270196806832207E-9</v>
      </c>
      <c r="V22" s="127">
        <v>6.4055509857828857E-9</v>
      </c>
      <c r="W22" s="128">
        <v>6.4857056376734726E-9</v>
      </c>
      <c r="X22" s="128">
        <f t="shared" si="0"/>
        <v>6.4059568224806158E-9</v>
      </c>
      <c r="Y22" s="139">
        <f t="shared" si="1"/>
        <v>7.6026073942536767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1.02866740433E-2</v>
      </c>
      <c r="J23" s="109">
        <v>3.4070449768213638E-9</v>
      </c>
      <c r="K23" s="109">
        <v>3.0396329629816945E-10</v>
      </c>
      <c r="L23" s="152">
        <v>4.7278516389506447E-9</v>
      </c>
      <c r="N23" s="18">
        <v>2.0556361358500621E-6</v>
      </c>
      <c r="O23" s="18">
        <v>1.9642600649310202E-11</v>
      </c>
      <c r="P23" s="18">
        <v>8.0486283796163677E-9</v>
      </c>
      <c r="Q23" s="28">
        <v>2.8234227204142788</v>
      </c>
      <c r="R23" s="60">
        <v>117.91845976261071</v>
      </c>
      <c r="S23" s="57">
        <v>8.7746113138507483E-7</v>
      </c>
      <c r="U23" s="127">
        <v>4.5502668075468701E-9</v>
      </c>
      <c r="V23" s="127">
        <v>4.7278516389506447E-9</v>
      </c>
      <c r="W23" s="128">
        <v>4.9068766495269024E-9</v>
      </c>
      <c r="X23" s="128">
        <f t="shared" si="0"/>
        <v>4.7282116837437659E-9</v>
      </c>
      <c r="Y23" s="139">
        <f t="shared" si="1"/>
        <v>18.891783113763481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1.03895407837E-2</v>
      </c>
      <c r="J24" s="109">
        <v>3.345694618335451E-9</v>
      </c>
      <c r="K24" s="109">
        <v>3.0225033688311726E-10</v>
      </c>
      <c r="L24" s="152">
        <v>3.4488880802884873E-9</v>
      </c>
      <c r="N24" s="18">
        <v>2.0519479129182798E-6</v>
      </c>
      <c r="O24" s="18">
        <v>2.1809136964598359E-11</v>
      </c>
      <c r="P24" s="18">
        <v>8.7340007856468671E-9</v>
      </c>
      <c r="Q24" s="28">
        <v>2.8234227204142788</v>
      </c>
      <c r="R24" s="60">
        <v>118.75806885018964</v>
      </c>
      <c r="S24" s="57">
        <v>8.7746113138507483E-7</v>
      </c>
      <c r="U24" s="127">
        <v>3.2239227890265672E-9</v>
      </c>
      <c r="V24" s="127">
        <v>3.4488880802884873E-9</v>
      </c>
      <c r="W24" s="128">
        <v>3.6719919849560853E-9</v>
      </c>
      <c r="X24" s="128">
        <f t="shared" si="0"/>
        <v>3.4484227336399065E-9</v>
      </c>
      <c r="Y24" s="139">
        <f t="shared" si="1"/>
        <v>0.11551677444784544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1.7860352480266717E-6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21.758164262199287</v>
      </c>
      <c r="H25" s="149">
        <v>200</v>
      </c>
      <c r="I25" s="109">
        <v>1.04934361916E-2</v>
      </c>
      <c r="J25" s="109">
        <v>3.3876265220054742E-9</v>
      </c>
      <c r="K25" s="109">
        <v>3.00265213889901E-10</v>
      </c>
      <c r="L25" s="152">
        <v>2.9176558713722273E-9</v>
      </c>
      <c r="N25" s="18">
        <v>2.0473233493298327E-6</v>
      </c>
      <c r="O25" s="18">
        <v>2.4321557254210355E-11</v>
      </c>
      <c r="P25" s="18">
        <v>9.5284865519171827E-9</v>
      </c>
      <c r="Q25" s="28">
        <v>2.8234227204142788</v>
      </c>
      <c r="R25" s="60">
        <v>118.75806885018964</v>
      </c>
      <c r="S25" s="57">
        <v>9.838371714002623E-7</v>
      </c>
      <c r="U25" s="127">
        <v>2.6979663180799489E-9</v>
      </c>
      <c r="V25" s="127">
        <v>2.9176558713722273E-9</v>
      </c>
      <c r="W25" s="128">
        <v>3.131956396911766E-9</v>
      </c>
      <c r="X25" s="128">
        <f t="shared" si="0"/>
        <v>2.9163086144340426E-9</v>
      </c>
      <c r="Y25" s="139">
        <f t="shared" si="1"/>
        <v>2.4638702791137774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1.7860352480266717E-6</v>
      </c>
      <c r="D26" s="101">
        <v>1.5392483148537927E-10</v>
      </c>
      <c r="E26" s="101">
        <v>5.0509225500401457E-8</v>
      </c>
      <c r="F26" s="149">
        <f>(H31-H25)*H29</f>
        <v>864.86357836635534</v>
      </c>
      <c r="G26" s="149">
        <v>55.42680874121109</v>
      </c>
      <c r="H26" s="111" t="s">
        <v>599</v>
      </c>
      <c r="I26" s="109">
        <v>1.05983705535E-2</v>
      </c>
      <c r="J26" s="109">
        <v>3.3431710081485757E-9</v>
      </c>
      <c r="K26" s="109">
        <v>2.9267806439456224E-10</v>
      </c>
      <c r="L26" s="152">
        <v>2.8629947072201168E-9</v>
      </c>
      <c r="N26" s="18">
        <v>2.0419557784426603E-6</v>
      </c>
      <c r="O26" s="18">
        <v>2.720353269654994E-11</v>
      </c>
      <c r="P26" s="18">
        <v>1.0439779124580284E-8</v>
      </c>
      <c r="Q26" s="28">
        <v>2.8234227204142788</v>
      </c>
      <c r="R26" s="60">
        <v>119.58357392712828</v>
      </c>
      <c r="S26" s="57">
        <v>9.838371714002623E-7</v>
      </c>
      <c r="U26" s="127">
        <v>2.6713186227118272E-9</v>
      </c>
      <c r="V26" s="127">
        <v>2.8629947072201168E-9</v>
      </c>
      <c r="W26" s="128">
        <v>3.0467502093214405E-9</v>
      </c>
      <c r="X26" s="128">
        <f t="shared" si="0"/>
        <v>2.8610145616183754E-9</v>
      </c>
      <c r="Y26" s="139">
        <f t="shared" si="1"/>
        <v>2.7139110361825995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8.4383076650543174E-7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0.02</v>
      </c>
      <c r="I27" s="109">
        <v>1.0704354259E-2</v>
      </c>
      <c r="J27" s="109">
        <v>3.2181161175105451E-9</v>
      </c>
      <c r="K27" s="109">
        <v>2.8757379493187508E-10</v>
      </c>
      <c r="L27" s="152">
        <v>2.9390283263913573E-9</v>
      </c>
      <c r="N27" s="18">
        <v>2.0358588980463217E-6</v>
      </c>
      <c r="O27" s="18">
        <v>3.0472099409582489E-11</v>
      </c>
      <c r="P27" s="18">
        <v>1.1473305292300427E-8</v>
      </c>
      <c r="Q27" s="28">
        <v>2.8234227204142788</v>
      </c>
      <c r="R27" s="60">
        <v>119.58357392712828</v>
      </c>
      <c r="S27" s="57">
        <v>1.1255697893475267E-6</v>
      </c>
      <c r="U27" s="127">
        <v>2.7784148247320398E-9</v>
      </c>
      <c r="V27" s="127">
        <v>2.9390283263913573E-9</v>
      </c>
      <c r="W27" s="128">
        <v>3.0898759998424523E-9</v>
      </c>
      <c r="X27" s="128">
        <f t="shared" si="0"/>
        <v>2.9365868693393015E-9</v>
      </c>
      <c r="Y27" s="139">
        <f t="shared" si="1"/>
        <v>0.95840357255556985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23.313779615057957</v>
      </c>
      <c r="G28" s="102">
        <v>5</v>
      </c>
      <c r="H28" s="134" t="s">
        <v>600</v>
      </c>
      <c r="I28" s="109">
        <v>1.08113978016E-2</v>
      </c>
      <c r="J28" s="109">
        <v>2.9345896907506742E-9</v>
      </c>
      <c r="K28" s="109">
        <v>2.7123249890672668E-10</v>
      </c>
      <c r="L28" s="152">
        <v>2.9985475471659442E-9</v>
      </c>
      <c r="N28" s="18">
        <v>2.0290216436749894E-6</v>
      </c>
      <c r="O28" s="18">
        <v>3.4136977843676757E-11</v>
      </c>
      <c r="P28" s="18">
        <v>1.2632144884413639E-8</v>
      </c>
      <c r="Q28" s="28">
        <v>2.8234227204142788</v>
      </c>
      <c r="R28" s="60">
        <v>120.99528528733542</v>
      </c>
      <c r="S28" s="57">
        <v>1.1255697893475267E-6</v>
      </c>
      <c r="U28" s="127">
        <v>2.8672924290851116E-9</v>
      </c>
      <c r="V28" s="127">
        <v>2.9985475471659442E-9</v>
      </c>
      <c r="W28" s="128">
        <v>3.1185088246058706E-9</v>
      </c>
      <c r="X28" s="128">
        <f t="shared" si="0"/>
        <v>2.9957240870057177E-9</v>
      </c>
      <c r="Y28" s="139">
        <f t="shared" si="1"/>
        <v>5.080281821123344E-2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42">
        <v>2.0700000000000001E-6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1.0919511779600001E-2</v>
      </c>
      <c r="J29" s="109">
        <v>3.5105383837977504E-9</v>
      </c>
      <c r="K29" s="109">
        <v>2.9354080981939022E-10</v>
      </c>
      <c r="L29" s="152">
        <v>3.0125908288850718E-9</v>
      </c>
      <c r="N29" s="18">
        <v>2.0214424858924293E-6</v>
      </c>
      <c r="O29" s="18">
        <v>3.8199467845889548E-11</v>
      </c>
      <c r="P29" s="18">
        <v>1.3916709700913451E-8</v>
      </c>
      <c r="Q29" s="28">
        <v>2.8234227204142788</v>
      </c>
      <c r="R29" s="60">
        <v>120.99528528733542</v>
      </c>
      <c r="S29" s="57">
        <v>1.3877783184321861E-6</v>
      </c>
      <c r="U29" s="127">
        <v>2.9094160737795815E-9</v>
      </c>
      <c r="V29" s="127">
        <v>3.0125908288850718E-9</v>
      </c>
      <c r="W29" s="128">
        <v>3.1031412452307972E-9</v>
      </c>
      <c r="X29" s="128">
        <f t="shared" si="0"/>
        <v>3.0094347441951305E-9</v>
      </c>
      <c r="Y29" s="139">
        <f t="shared" si="1"/>
        <v>2.9141918424846867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1.1028706897400001E-2</v>
      </c>
      <c r="J30" s="109">
        <v>3.1931923543179611E-9</v>
      </c>
      <c r="K30" s="109">
        <v>2.8220552515968103E-10</v>
      </c>
      <c r="L30" s="152">
        <v>2.9822022424949777E-9</v>
      </c>
      <c r="N30" s="18">
        <v>2.0131366348238369E-6</v>
      </c>
      <c r="O30" s="18">
        <v>4.2651466356279966E-11</v>
      </c>
      <c r="P30" s="18">
        <v>1.5324437624741233E-8</v>
      </c>
      <c r="Q30" s="28">
        <v>2.8234227204142788</v>
      </c>
      <c r="R30" s="60">
        <v>123.81870800774971</v>
      </c>
      <c r="S30" s="57">
        <v>1.3877783184321861E-6</v>
      </c>
      <c r="U30" s="127">
        <v>2.9064506293329605E-9</v>
      </c>
      <c r="V30" s="127">
        <v>2.9822022424949777E-9</v>
      </c>
      <c r="W30" s="128">
        <v>3.0441904681505845E-9</v>
      </c>
      <c r="X30" s="128">
        <f t="shared" si="0"/>
        <v>2.9787613956183753E-9</v>
      </c>
      <c r="Y30" s="139">
        <f t="shared" si="1"/>
        <v>0.57735635420832565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1064.8635783663553</v>
      </c>
      <c r="I31" s="109">
        <v>1.11389939664E-2</v>
      </c>
      <c r="J31" s="109">
        <v>3.0487564704463255E-9</v>
      </c>
      <c r="K31" s="109">
        <v>2.6706486641690948E-10</v>
      </c>
      <c r="L31" s="152">
        <v>2.9129260208974275E-9</v>
      </c>
      <c r="N31" s="18">
        <v>2.0041379982265262E-6</v>
      </c>
      <c r="O31" s="18">
        <v>4.7474802772485794E-11</v>
      </c>
      <c r="P31" s="18">
        <v>1.6849583093860831E-8</v>
      </c>
      <c r="Q31" s="28">
        <v>2.8234227204142788</v>
      </c>
      <c r="R31" s="60">
        <v>123.81870800774971</v>
      </c>
      <c r="S31" s="57">
        <v>1.6789208545100008E-6</v>
      </c>
      <c r="U31" s="127">
        <v>2.8641809626984183E-9</v>
      </c>
      <c r="V31" s="127">
        <v>2.9129260208974275E-9</v>
      </c>
      <c r="W31" s="128">
        <v>2.9470084091113722E-9</v>
      </c>
      <c r="X31" s="128">
        <f t="shared" si="0"/>
        <v>2.9092603534011612E-9</v>
      </c>
      <c r="Y31" s="139">
        <f t="shared" si="1"/>
        <v>0.27282911930028292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1.12503839061E-2</v>
      </c>
      <c r="J32" s="109">
        <v>2.7271320419661296E-9</v>
      </c>
      <c r="K32" s="109">
        <v>2.6285907010104068E-10</v>
      </c>
      <c r="L32" s="152">
        <v>2.8099634499748599E-9</v>
      </c>
      <c r="N32" s="18">
        <v>1.9944997317853695E-6</v>
      </c>
      <c r="O32" s="18">
        <v>5.2640985542885123E-11</v>
      </c>
      <c r="P32" s="18">
        <v>1.8483137041766491E-8</v>
      </c>
      <c r="Q32" s="28">
        <v>2.8234227204142788</v>
      </c>
      <c r="R32" s="60">
        <v>126.64213072816399</v>
      </c>
      <c r="S32" s="57">
        <v>1.6789208545100008E-6</v>
      </c>
      <c r="U32" s="127">
        <v>2.7877000928073774E-9</v>
      </c>
      <c r="V32" s="127">
        <v>2.8099634499748599E-9</v>
      </c>
      <c r="W32" s="128">
        <v>2.8169792416783373E-9</v>
      </c>
      <c r="X32" s="128">
        <f t="shared" si="0"/>
        <v>2.8061515586088586E-9</v>
      </c>
      <c r="Y32" s="139">
        <f t="shared" si="1"/>
        <v>9.0369692231719131E-2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1.1362887745099999E-2</v>
      </c>
      <c r="J33" s="109">
        <v>2.4914530804015964E-9</v>
      </c>
      <c r="K33" s="109">
        <v>2.4660403376472429E-10</v>
      </c>
      <c r="L33" s="152">
        <v>2.6782830319344053E-9</v>
      </c>
      <c r="N33" s="18">
        <v>1.9842938486839062E-6</v>
      </c>
      <c r="O33" s="18">
        <v>5.8111415080027368E-11</v>
      </c>
      <c r="P33" s="18">
        <v>2.0212894226961829E-8</v>
      </c>
      <c r="Q33" s="28">
        <v>2.8234227204142788</v>
      </c>
      <c r="R33" s="60">
        <v>126.64213072816399</v>
      </c>
      <c r="S33" s="57">
        <v>1.8765921356792157E-6</v>
      </c>
      <c r="U33" s="127">
        <v>2.6816458888172879E-9</v>
      </c>
      <c r="V33" s="127">
        <v>2.6782830319344053E-9</v>
      </c>
      <c r="W33" s="128">
        <v>2.6594903624258257E-9</v>
      </c>
      <c r="X33" s="128">
        <f t="shared" si="0"/>
        <v>2.6744255787779808E-9</v>
      </c>
      <c r="Y33" s="139">
        <f t="shared" si="1"/>
        <v>0.55051769637527492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1.14765166226E-2</v>
      </c>
      <c r="J34" s="109">
        <v>2.4995034193256615E-9</v>
      </c>
      <c r="K34" s="109">
        <v>2.4657360831863858E-10</v>
      </c>
      <c r="L34" s="152">
        <v>2.5228450423976881E-9</v>
      </c>
      <c r="N34" s="18">
        <v>1.973609907005142E-6</v>
      </c>
      <c r="O34" s="18">
        <v>6.383808758367721E-11</v>
      </c>
      <c r="P34" s="18">
        <v>2.2023675783180114E-8</v>
      </c>
      <c r="Q34" s="28">
        <v>2.8234227204142788</v>
      </c>
      <c r="R34" s="60">
        <v>129.46555344857828</v>
      </c>
      <c r="S34" s="57">
        <v>1.8765921356792157E-6</v>
      </c>
      <c r="U34" s="127">
        <v>2.5504954278870791E-9</v>
      </c>
      <c r="V34" s="127">
        <v>2.5228450423976881E-9</v>
      </c>
      <c r="W34" s="128">
        <v>2.4800749931643039E-9</v>
      </c>
      <c r="X34" s="128">
        <f t="shared" si="0"/>
        <v>2.5190651264616899E-9</v>
      </c>
      <c r="Y34" s="139">
        <f t="shared" si="1"/>
        <v>6.2939070393900924E-3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1.3701415271707418</v>
      </c>
      <c r="I35" s="109">
        <v>1.1591281788799999E-2</v>
      </c>
      <c r="J35" s="109">
        <v>2.6696642307017082E-9</v>
      </c>
      <c r="K35" s="109">
        <v>1.5474520912060474E-10</v>
      </c>
      <c r="L35" s="152">
        <v>2.3487428415219963E-9</v>
      </c>
      <c r="N35" s="18">
        <v>1.9625527951017617E-6</v>
      </c>
      <c r="O35" s="18">
        <v>6.9764782113723797E-11</v>
      </c>
      <c r="P35" s="18">
        <v>2.3897704573460726E-8</v>
      </c>
      <c r="Q35" s="28">
        <v>2.8234227204142788</v>
      </c>
      <c r="R35" s="60">
        <v>129.46555344857828</v>
      </c>
      <c r="S35" s="57">
        <v>1.9867904809602846E-6</v>
      </c>
      <c r="U35" s="127">
        <v>2.3987593998199603E-9</v>
      </c>
      <c r="V35" s="127">
        <v>2.3487428415219963E-9</v>
      </c>
      <c r="W35" s="128">
        <v>2.2844879598816717E-9</v>
      </c>
      <c r="X35" s="128">
        <f t="shared" si="0"/>
        <v>2.3451832606864061E-9</v>
      </c>
      <c r="Y35" s="139">
        <f t="shared" si="1"/>
        <v>4.3968741864992547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645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1.17071946067E-2</v>
      </c>
      <c r="J36" s="109">
        <v>2.267838695191951E-9</v>
      </c>
      <c r="K36" s="109">
        <v>1.3596792291962782E-10</v>
      </c>
      <c r="L36" s="152">
        <v>2.1612525406647272E-9</v>
      </c>
      <c r="N36" s="18">
        <v>1.9512396914304034E-6</v>
      </c>
      <c r="O36" s="18">
        <v>7.5828690142582057E-11</v>
      </c>
      <c r="P36" s="18">
        <v>2.5815120456813969E-8</v>
      </c>
      <c r="Q36" s="28">
        <v>2.8234227204142788</v>
      </c>
      <c r="R36" s="60">
        <v>132.28897616899255</v>
      </c>
      <c r="S36" s="57">
        <v>1.9867904809602846E-6</v>
      </c>
      <c r="U36" s="127">
        <v>2.2310815345102955E-9</v>
      </c>
      <c r="V36" s="127">
        <v>2.1612525406647272E-9</v>
      </c>
      <c r="W36" s="128">
        <v>2.0786931441977265E-9</v>
      </c>
      <c r="X36" s="128">
        <f t="shared" si="0"/>
        <v>2.158069940009369E-9</v>
      </c>
      <c r="Y36" s="139">
        <f t="shared" si="1"/>
        <v>0.65175527066412031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1.6199999999999999E-6</v>
      </c>
      <c r="D37" s="157">
        <v>5.6499999999999999E-7</v>
      </c>
      <c r="E37" s="157">
        <v>5.7300000000000002E-6</v>
      </c>
      <c r="F37" s="102"/>
      <c r="G37" s="102"/>
      <c r="H37" s="160">
        <v>0.29996142000263898</v>
      </c>
      <c r="I37" s="109">
        <v>1.18242665528E-2</v>
      </c>
      <c r="J37" s="109">
        <v>2.0741378292996242E-9</v>
      </c>
      <c r="K37" s="109">
        <v>1.3076051554398601E-10</v>
      </c>
      <c r="L37" s="152">
        <v>1.9658047536998E-9</v>
      </c>
      <c r="N37" s="18">
        <v>1.9426623034026191E-6</v>
      </c>
      <c r="O37" s="18">
        <v>8.0426234162265537E-11</v>
      </c>
      <c r="P37" s="18">
        <v>2.7268870066109518E-8</v>
      </c>
      <c r="Q37" s="28">
        <v>1.4117113602071394</v>
      </c>
      <c r="R37" s="60">
        <v>132.28897616899255</v>
      </c>
      <c r="S37" s="57">
        <v>2.0366542886779835E-6</v>
      </c>
      <c r="U37" s="127">
        <v>2.052260835782315E-9</v>
      </c>
      <c r="V37" s="127">
        <v>1.9658047536998E-9</v>
      </c>
      <c r="W37" s="128">
        <v>1.8687733551029105E-9</v>
      </c>
      <c r="X37" s="128">
        <f t="shared" si="0"/>
        <v>1.9631609245712065E-9</v>
      </c>
      <c r="Y37" s="139">
        <f t="shared" si="1"/>
        <v>0.72029759877681721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646</v>
      </c>
      <c r="D38" s="158" t="s">
        <v>612</v>
      </c>
      <c r="E38" s="158" t="s">
        <v>614</v>
      </c>
      <c r="F38" s="104"/>
      <c r="G38" s="104"/>
      <c r="H38" s="144"/>
      <c r="I38" s="109">
        <v>1.19425092183E-2</v>
      </c>
      <c r="J38" s="109">
        <v>2.1113926460373264E-9</v>
      </c>
      <c r="K38" s="109">
        <v>1.3195662228494082E-10</v>
      </c>
      <c r="L38" s="152">
        <v>1.7678946069553227E-9</v>
      </c>
      <c r="N38" s="18">
        <v>1.9329103111327241E-6</v>
      </c>
      <c r="O38" s="18">
        <v>8.5653374825043235E-11</v>
      </c>
      <c r="P38" s="18">
        <v>2.8921698981659327E-8</v>
      </c>
      <c r="Q38" s="28">
        <v>3.4080279641840443</v>
      </c>
      <c r="R38" s="60">
        <v>135.11239888940682</v>
      </c>
      <c r="S38" s="57">
        <v>2.0366542886779835E-6</v>
      </c>
      <c r="U38" s="127">
        <v>1.8672125408568528E-9</v>
      </c>
      <c r="V38" s="127">
        <v>1.7678946069553227E-9</v>
      </c>
      <c r="W38" s="128">
        <v>1.6607805137352035E-9</v>
      </c>
      <c r="X38" s="128">
        <f t="shared" si="0"/>
        <v>1.7659455671256756E-9</v>
      </c>
      <c r="Y38" s="139">
        <f t="shared" si="1"/>
        <v>6.8533146034796575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193.24</v>
      </c>
      <c r="D39" s="159">
        <v>44.06</v>
      </c>
      <c r="E39" s="159">
        <v>48.06</v>
      </c>
      <c r="F39" s="104"/>
      <c r="G39" s="104"/>
      <c r="H39" s="108"/>
      <c r="I39" s="109">
        <v>1.2061934310500001E-2</v>
      </c>
      <c r="J39" s="109">
        <v>1.4625106990282853E-9</v>
      </c>
      <c r="K39" s="109">
        <v>1.0913163670677666E-10</v>
      </c>
      <c r="L39" s="152">
        <v>1.5729466913558609E-9</v>
      </c>
      <c r="N39" s="18">
        <v>1.919138567724728E-6</v>
      </c>
      <c r="O39" s="18">
        <v>9.3035132108373614E-11</v>
      </c>
      <c r="P39" s="18">
        <v>3.1255820573668549E-8</v>
      </c>
      <c r="Q39" s="28">
        <v>3.4662551804811481</v>
      </c>
      <c r="R39" s="60">
        <v>135.11239888940682</v>
      </c>
      <c r="S39" s="57">
        <v>2.054080361389302E-6</v>
      </c>
      <c r="U39" s="127">
        <v>1.6808819362342032E-9</v>
      </c>
      <c r="V39" s="127">
        <v>1.5729466913558609E-9</v>
      </c>
      <c r="W39" s="128">
        <v>1.4605468448186857E-9</v>
      </c>
      <c r="X39" s="128">
        <f t="shared" si="0"/>
        <v>1.5718305409411527E-9</v>
      </c>
      <c r="Y39" s="139">
        <f t="shared" si="1"/>
        <v>1.0034521152317044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1.2182553653599999E-2</v>
      </c>
      <c r="J40" s="109">
        <v>1.1810904478078018E-9</v>
      </c>
      <c r="K40" s="109">
        <v>1.2116682246923221E-10</v>
      </c>
      <c r="L40" s="152">
        <v>1.3861522525747702E-9</v>
      </c>
      <c r="N40" s="18">
        <v>1.9053695179304605E-6</v>
      </c>
      <c r="O40" s="18">
        <v>1.0041544559463568E-10</v>
      </c>
      <c r="P40" s="18">
        <v>3.3589485635100807E-8</v>
      </c>
      <c r="Q40" s="28">
        <v>3.5889659087017951</v>
      </c>
      <c r="R40" s="60">
        <v>137.93582160982109</v>
      </c>
      <c r="S40" s="57">
        <v>2.054080361389302E-6</v>
      </c>
      <c r="U40" s="127">
        <v>1.4981246656782653E-9</v>
      </c>
      <c r="V40" s="127">
        <v>1.3861522525747702E-9</v>
      </c>
      <c r="W40" s="128">
        <v>1.273479103273918E-9</v>
      </c>
      <c r="X40" s="128">
        <f t="shared" si="0"/>
        <v>1.3859770685254308E-9</v>
      </c>
      <c r="Y40" s="139">
        <f t="shared" si="1"/>
        <v>2.8593002430181231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1.2304379190100001E-2</v>
      </c>
      <c r="J41" s="109">
        <v>1.2075450657325674E-9</v>
      </c>
      <c r="K41" s="109">
        <v>1.1981960653424657E-10</v>
      </c>
      <c r="L41" s="152">
        <v>1.2122961871069693E-9</v>
      </c>
      <c r="N41" s="18">
        <v>1.8916121412412559E-6</v>
      </c>
      <c r="O41" s="18">
        <v>1.0778950220943518E-10</v>
      </c>
      <c r="P41" s="18">
        <v>3.5921172265352152E-8</v>
      </c>
      <c r="Q41" s="28">
        <v>3.7904726223783483</v>
      </c>
      <c r="R41" s="60">
        <v>137.93582160982109</v>
      </c>
      <c r="S41" s="57">
        <v>2.0574455705923254E-6</v>
      </c>
      <c r="U41" s="127">
        <v>1.3235672778028818E-9</v>
      </c>
      <c r="V41" s="127">
        <v>1.2122961871069693E-9</v>
      </c>
      <c r="W41" s="128">
        <v>1.1043576121289139E-9</v>
      </c>
      <c r="X41" s="128">
        <f t="shared" si="0"/>
        <v>1.2131293160364336E-9</v>
      </c>
      <c r="Y41" s="139">
        <f t="shared" si="1"/>
        <v>2.1720707877552325E-3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1.2427422981999999E-2</v>
      </c>
      <c r="J42" s="109">
        <v>1.2306745297700539E-9</v>
      </c>
      <c r="K42" s="109">
        <v>1.2099435059827092E-10</v>
      </c>
      <c r="L42" s="152">
        <v>1.0555907251921914E-9</v>
      </c>
      <c r="N42" s="18">
        <v>1.8778884632352251E-6</v>
      </c>
      <c r="O42" s="18">
        <v>1.1514549607846696E-10</v>
      </c>
      <c r="P42" s="18">
        <v>3.8247147431071527E-8</v>
      </c>
      <c r="Q42" s="28">
        <v>4.0978065790056002</v>
      </c>
      <c r="R42" s="60">
        <v>140.75924433023536</v>
      </c>
      <c r="S42" s="57">
        <v>2.0574455705923254E-6</v>
      </c>
      <c r="U42" s="127">
        <v>1.1614617224796199E-9</v>
      </c>
      <c r="V42" s="127">
        <v>1.0555907251921914E-9</v>
      </c>
      <c r="W42" s="128">
        <v>9.5715971547362491E-10</v>
      </c>
      <c r="X42" s="128">
        <f t="shared" si="0"/>
        <v>1.0574507220844068E-9</v>
      </c>
      <c r="Y42" s="139">
        <f t="shared" si="1"/>
        <v>2.0496748656092998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1.25516972118E-2</v>
      </c>
      <c r="J43" s="109">
        <v>8.1868598383819422E-10</v>
      </c>
      <c r="K43" s="109">
        <v>1.0549253120548407E-10</v>
      </c>
      <c r="L43" s="152">
        <v>9.1953068337498785E-10</v>
      </c>
      <c r="N43" s="18">
        <v>1.8642442715677828E-6</v>
      </c>
      <c r="O43" s="18">
        <v>1.2245888467658885E-10</v>
      </c>
      <c r="P43" s="18">
        <v>4.055965075276417E-8</v>
      </c>
      <c r="Q43" s="28">
        <v>4.5615166669968783</v>
      </c>
      <c r="R43" s="60">
        <v>140.75924433023536</v>
      </c>
      <c r="S43" s="57">
        <v>2.0556361358500621E-6</v>
      </c>
      <c r="U43" s="127">
        <v>1.0155467766891401E-9</v>
      </c>
      <c r="V43" s="127">
        <v>9.1953068337498785E-10</v>
      </c>
      <c r="W43" s="128">
        <v>8.3492318629237589E-10</v>
      </c>
      <c r="X43" s="128">
        <f t="shared" si="0"/>
        <v>9.2238283243287287E-10</v>
      </c>
      <c r="Y43" s="139">
        <f t="shared" si="1"/>
        <v>0.9662459582388675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1.26772141839E-2</v>
      </c>
      <c r="J44" s="109">
        <v>9.1897914319723552E-10</v>
      </c>
      <c r="K44" s="109">
        <v>1.047886832236666E-10</v>
      </c>
      <c r="L44" s="152">
        <v>8.0678190479225099E-10</v>
      </c>
      <c r="N44" s="18">
        <v>1.8507689153093054E-6</v>
      </c>
      <c r="O44" s="18">
        <v>1.2968177623501939E-10</v>
      </c>
      <c r="P44" s="18">
        <v>4.2843538788658475E-8</v>
      </c>
      <c r="Q44" s="28">
        <v>5.2825562699530026</v>
      </c>
      <c r="R44" s="60">
        <v>143.58266705064963</v>
      </c>
      <c r="S44" s="57">
        <v>2.0556361358500621E-6</v>
      </c>
      <c r="U44" s="127">
        <v>8.8892773405258992E-10</v>
      </c>
      <c r="V44" s="127">
        <v>8.0678190479225099E-10</v>
      </c>
      <c r="W44" s="128">
        <v>7.3965967525659671E-10</v>
      </c>
      <c r="X44" s="128">
        <f t="shared" si="0"/>
        <v>8.1053780472342215E-10</v>
      </c>
      <c r="Y44" s="139">
        <f t="shared" si="1"/>
        <v>1.0709297238471487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1.28039863258E-2</v>
      </c>
      <c r="J45" s="109">
        <v>8.5784613394247268E-10</v>
      </c>
      <c r="K45" s="109">
        <v>1.0377647791034785E-10</v>
      </c>
      <c r="L45" s="152">
        <v>7.1911034062479451E-10</v>
      </c>
      <c r="N45" s="18">
        <v>1.8376353775179508E-6</v>
      </c>
      <c r="O45" s="18">
        <v>1.3672145054313472E-10</v>
      </c>
      <c r="P45" s="18">
        <v>4.5069493283313893E-8</v>
      </c>
      <c r="Q45" s="28">
        <v>6.4913309602674891</v>
      </c>
      <c r="R45" s="60">
        <v>143.58266705064963</v>
      </c>
      <c r="S45" s="57">
        <v>2.0519479129182798E-6</v>
      </c>
      <c r="U45" s="127">
        <v>7.839831762081222E-10</v>
      </c>
      <c r="V45" s="127">
        <v>7.1911034062479451E-10</v>
      </c>
      <c r="W45" s="128">
        <v>6.7232225255140117E-10</v>
      </c>
      <c r="X45" s="128">
        <f t="shared" si="0"/>
        <v>7.236315275022781E-10</v>
      </c>
      <c r="Y45" s="139">
        <f t="shared" si="1"/>
        <v>1.6726370422888168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1.2932026189000001E-2</v>
      </c>
      <c r="J46" s="109">
        <v>5.7630860905087348E-10</v>
      </c>
      <c r="K46" s="109">
        <v>8.2877146958559289E-11</v>
      </c>
      <c r="L46" s="152">
        <v>6.5711922497028712E-10</v>
      </c>
      <c r="N46" s="18">
        <v>1.8251906572949773E-6</v>
      </c>
      <c r="O46" s="18">
        <v>1.4339191349204541E-10</v>
      </c>
      <c r="P46" s="18">
        <v>4.717870264907152E-8</v>
      </c>
      <c r="Q46" s="28">
        <v>8.8598429759254174</v>
      </c>
      <c r="R46" s="60">
        <v>146.4060897710639</v>
      </c>
      <c r="S46" s="57">
        <v>2.0519479129182798E-6</v>
      </c>
      <c r="U46" s="127">
        <v>7.0204024666894539E-10</v>
      </c>
      <c r="V46" s="127">
        <v>6.5711922497028712E-10</v>
      </c>
      <c r="W46" s="128">
        <v>6.3262346785785717E-10</v>
      </c>
      <c r="X46" s="128">
        <f t="shared" si="0"/>
        <v>6.6222554111684425E-10</v>
      </c>
      <c r="Y46" s="139">
        <f t="shared" si="1"/>
        <v>1.0747017037603721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1.3061346450899999E-2</v>
      </c>
      <c r="J47" s="109">
        <v>5.1758899288583868E-10</v>
      </c>
      <c r="K47" s="109">
        <v>8.2245087152730681E-11</v>
      </c>
      <c r="L47" s="152">
        <v>6.2125913759940035E-10</v>
      </c>
      <c r="N47" s="18">
        <v>1.81419273873378E-6</v>
      </c>
      <c r="O47" s="18">
        <v>1.4928687994875822E-10</v>
      </c>
      <c r="P47" s="18">
        <v>4.9042698979844353E-8</v>
      </c>
      <c r="Q47" s="28">
        <v>15.921255455427602</v>
      </c>
      <c r="R47" s="60">
        <v>146.4060897710639</v>
      </c>
      <c r="S47" s="57">
        <v>2.0473233493298327E-6</v>
      </c>
      <c r="U47" s="127">
        <v>6.4445621671651812E-10</v>
      </c>
      <c r="V47" s="127">
        <v>6.2125913759940035E-10</v>
      </c>
      <c r="W47" s="128">
        <v>6.1996416683483553E-10</v>
      </c>
      <c r="X47" s="128">
        <f t="shared" si="0"/>
        <v>6.2673466468753848E-10</v>
      </c>
      <c r="Y47" s="139">
        <f t="shared" si="1"/>
        <v>1.7611368582102573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1.31919599154E-2</v>
      </c>
      <c r="J48" s="109">
        <v>7.9120650848506572E-10</v>
      </c>
      <c r="K48" s="109">
        <v>9.3122366242288161E-11</v>
      </c>
      <c r="L48" s="152">
        <v>6.1030475145108709E-10</v>
      </c>
      <c r="N48" s="18">
        <v>1.8065904041181873E-6</v>
      </c>
      <c r="O48" s="18">
        <v>1.5336178805998422E-10</v>
      </c>
      <c r="P48" s="18">
        <v>5.0331190411192935E-8</v>
      </c>
      <c r="Q48" s="28">
        <v>21.381099781602746</v>
      </c>
      <c r="R48" s="60">
        <v>149.22951249147818</v>
      </c>
      <c r="S48" s="57">
        <v>2.0473233493298327E-6</v>
      </c>
      <c r="U48" s="127">
        <v>6.1089039778388033E-10</v>
      </c>
      <c r="V48" s="127">
        <v>6.1030475145108709E-10</v>
      </c>
      <c r="W48" s="128">
        <v>6.3215424096572789E-10</v>
      </c>
      <c r="X48" s="128">
        <f t="shared" si="0"/>
        <v>6.1591353541294565E-10</v>
      </c>
      <c r="Y48" s="139">
        <f t="shared" si="1"/>
        <v>3.5434067504505564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1.33238795146E-2</v>
      </c>
      <c r="J49" s="109">
        <v>6.8460807502538026E-10</v>
      </c>
      <c r="K49" s="109">
        <v>8.7697590569938541E-11</v>
      </c>
      <c r="L49" s="152">
        <v>6.2254519650617346E-10</v>
      </c>
      <c r="N49" s="18">
        <v>1.8055399645975585E-6</v>
      </c>
      <c r="O49" s="18">
        <v>1.5392483148537927E-10</v>
      </c>
      <c r="P49" s="18">
        <v>5.0509225500401457E-8</v>
      </c>
      <c r="Q49" s="28">
        <v>919.63008415329216</v>
      </c>
      <c r="R49" s="60">
        <v>149.22951249147818</v>
      </c>
      <c r="S49" s="57">
        <v>2.0419557784426603E-6</v>
      </c>
      <c r="U49" s="127">
        <v>6.0055342208779641E-10</v>
      </c>
      <c r="V49" s="127">
        <v>6.2254519650617346E-10</v>
      </c>
      <c r="W49" s="128">
        <v>6.6652385512180586E-10</v>
      </c>
      <c r="X49" s="128">
        <f t="shared" si="0"/>
        <v>6.2804191755548732E-10</v>
      </c>
      <c r="Y49" s="139">
        <f t="shared" si="1"/>
        <v>0.41604282168896667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1.3457118309700001E-2</v>
      </c>
      <c r="J50" s="109">
        <v>5.965776149297873E-10</v>
      </c>
      <c r="K50" s="109">
        <v>8.1944146492724057E-11</v>
      </c>
      <c r="L50" s="152">
        <v>6.5559889842887636E-10</v>
      </c>
      <c r="N50" s="18">
        <v>1.801777694838134E-6</v>
      </c>
      <c r="O50" s="18">
        <v>1.5392483148537927E-10</v>
      </c>
      <c r="P50" s="18">
        <v>5.0509225500401457E-8</v>
      </c>
      <c r="Q50" s="28">
        <v>3.4421631761482474</v>
      </c>
      <c r="R50" s="60">
        <v>152.05293521189245</v>
      </c>
      <c r="S50" s="57">
        <v>2.0419557784426603E-6</v>
      </c>
      <c r="U50" s="127">
        <v>6.1195831739457948E-10</v>
      </c>
      <c r="V50" s="127">
        <v>6.5559889842887636E-10</v>
      </c>
      <c r="W50" s="128">
        <v>7.1980664537303474E-10</v>
      </c>
      <c r="X50" s="128">
        <f t="shared" si="0"/>
        <v>6.6074068990634176E-10</v>
      </c>
      <c r="Y50" s="139">
        <f t="shared" si="1"/>
        <v>0.61310444665672437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1.3591689492799999E-2</v>
      </c>
      <c r="J51" s="109">
        <v>6.135673154947203E-10</v>
      </c>
      <c r="K51" s="109">
        <v>8.2166984236254366E-11</v>
      </c>
      <c r="L51" s="152">
        <v>7.0653340967683814E-10</v>
      </c>
      <c r="N51" s="18">
        <v>1.7745490604773958E-6</v>
      </c>
      <c r="O51" s="18">
        <v>1.5392483148537927E-10</v>
      </c>
      <c r="P51" s="18">
        <v>5.0509225500401457E-8</v>
      </c>
      <c r="Q51" s="28">
        <v>2.563177750747776</v>
      </c>
      <c r="R51" s="60">
        <v>152.05293521189245</v>
      </c>
      <c r="S51" s="57">
        <v>2.0358588980463217E-6</v>
      </c>
      <c r="U51" s="127">
        <v>6.4300596115586272E-10</v>
      </c>
      <c r="V51" s="127">
        <v>7.0653340967683814E-10</v>
      </c>
      <c r="W51" s="128">
        <v>7.8828985328468482E-10</v>
      </c>
      <c r="X51" s="128">
        <f t="shared" si="0"/>
        <v>7.1109065844855598E-10</v>
      </c>
      <c r="Y51" s="139">
        <f t="shared" si="1"/>
        <v>1.4087128132166733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1.37276063878E-2</v>
      </c>
      <c r="J52" s="109">
        <v>7.8033764238462537E-10</v>
      </c>
      <c r="K52" s="109">
        <v>8.9419996421067189E-11</v>
      </c>
      <c r="L52" s="152">
        <v>7.7199222628886095E-10</v>
      </c>
      <c r="N52" s="18">
        <v>1.7351587523189236E-6</v>
      </c>
      <c r="O52" s="18">
        <v>1.5392483148537927E-10</v>
      </c>
      <c r="P52" s="18">
        <v>5.0509225500401457E-8</v>
      </c>
      <c r="Q52" s="28">
        <v>1.4263543760469788</v>
      </c>
      <c r="R52" s="60">
        <v>154.87635793230672</v>
      </c>
      <c r="S52" s="57">
        <v>2.0358588980463217E-6</v>
      </c>
      <c r="U52" s="127">
        <v>6.9108399623903525E-10</v>
      </c>
      <c r="V52" s="127">
        <v>7.7199222628886095E-10</v>
      </c>
      <c r="W52" s="128">
        <v>8.6796318847064542E-10</v>
      </c>
      <c r="X52" s="128">
        <f t="shared" si="0"/>
        <v>7.7575790932185067E-10</v>
      </c>
      <c r="Y52" s="139">
        <f t="shared" si="1"/>
        <v>2.6230769675942883E-3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1.3864882451600001E-2</v>
      </c>
      <c r="J53" s="109">
        <v>8.2255393604803863E-10</v>
      </c>
      <c r="K53" s="109">
        <v>9.4172764991023626E-11</v>
      </c>
      <c r="L53" s="152">
        <v>8.4832271088570964E-10</v>
      </c>
      <c r="N53" s="18">
        <v>1.6905865578803855E-6</v>
      </c>
      <c r="O53" s="18">
        <v>1.5392483148537927E-10</v>
      </c>
      <c r="P53" s="18">
        <v>5.0509225500401457E-8</v>
      </c>
      <c r="Q53" s="28">
        <v>1.0450454197332617</v>
      </c>
      <c r="R53" s="60">
        <v>154.87635793230672</v>
      </c>
      <c r="S53" s="57">
        <v>2.0290216436749894E-6</v>
      </c>
      <c r="U53" s="127">
        <v>7.5317350498280591E-10</v>
      </c>
      <c r="V53" s="127">
        <v>8.4832271088570964E-10</v>
      </c>
      <c r="W53" s="128">
        <v>9.5466135663488756E-10</v>
      </c>
      <c r="X53" s="128">
        <f t="shared" si="0"/>
        <v>8.5112007084727816E-10</v>
      </c>
      <c r="Y53" s="139">
        <f t="shared" si="1"/>
        <v>9.2013662734311177E-2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1.40035312762E-2</v>
      </c>
      <c r="J54" s="109">
        <v>9.1783147024028331E-10</v>
      </c>
      <c r="K54" s="109">
        <v>9.9073112603754644E-11</v>
      </c>
      <c r="L54" s="152">
        <v>9.3170085660407069E-10</v>
      </c>
      <c r="N54" s="18">
        <v>1.6435472842274919E-6</v>
      </c>
      <c r="O54" s="18">
        <v>1.5392483148537927E-10</v>
      </c>
      <c r="P54" s="18">
        <v>5.0509225500401457E-8</v>
      </c>
      <c r="Q54" s="28">
        <v>0.8504436560372397</v>
      </c>
      <c r="R54" s="60">
        <v>157.69978065272099</v>
      </c>
      <c r="S54" s="57">
        <v>2.0290216436749894E-6</v>
      </c>
      <c r="U54" s="127">
        <v>8.2595868248919535E-10</v>
      </c>
      <c r="V54" s="127">
        <v>9.3170085660407069E-10</v>
      </c>
      <c r="W54" s="128">
        <v>1.0441972910538245E-9</v>
      </c>
      <c r="X54" s="128">
        <f t="shared" si="0"/>
        <v>9.333894216877902E-10</v>
      </c>
      <c r="Y54" s="139">
        <f t="shared" si="1"/>
        <v>2.4660007740426509E-2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1.41435665889E-2</v>
      </c>
      <c r="J55" s="109">
        <v>1.0728137061410218E-9</v>
      </c>
      <c r="K55" s="109">
        <v>1.0726743006445801E-10</v>
      </c>
      <c r="L55" s="152">
        <v>1.0182501862128463E-9</v>
      </c>
      <c r="N55" s="18">
        <v>1.5952837484854315E-6</v>
      </c>
      <c r="O55" s="18">
        <v>1.5392483148537927E-10</v>
      </c>
      <c r="P55" s="18">
        <v>5.0509225500401457E-8</v>
      </c>
      <c r="Q55" s="28">
        <v>0.73436281851289054</v>
      </c>
      <c r="R55" s="60">
        <v>157.69978065272099</v>
      </c>
      <c r="S55" s="57">
        <v>2.0214424858924293E-6</v>
      </c>
      <c r="U55" s="127">
        <v>9.0593589357722266E-10</v>
      </c>
      <c r="V55" s="127">
        <v>1.0182501862128463E-9</v>
      </c>
      <c r="W55" s="128">
        <v>1.1324848398551837E-9</v>
      </c>
      <c r="X55" s="128">
        <f t="shared" si="0"/>
        <v>1.0187302764645249E-9</v>
      </c>
      <c r="Y55" s="139">
        <f t="shared" si="1"/>
        <v>0.25421003892455418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1.42850022548E-2</v>
      </c>
      <c r="J56" s="109">
        <v>1.2256382005438549E-9</v>
      </c>
      <c r="K56" s="109">
        <v>1.1155811564443248E-10</v>
      </c>
      <c r="L56" s="152">
        <v>1.1041534010556152E-9</v>
      </c>
      <c r="N56" s="18">
        <v>1.5464155093397049E-6</v>
      </c>
      <c r="O56" s="18">
        <v>1.5392483148537927E-10</v>
      </c>
      <c r="P56" s="18">
        <v>5.0509225500401457E-8</v>
      </c>
      <c r="Q56" s="28">
        <v>0.6597096993751439</v>
      </c>
      <c r="R56" s="60">
        <v>160.52320337313526</v>
      </c>
      <c r="S56" s="57">
        <v>2.0214424858924293E-6</v>
      </c>
      <c r="U56" s="127">
        <v>9.8951965174651473E-10</v>
      </c>
      <c r="V56" s="127">
        <v>1.1041534010556152E-9</v>
      </c>
      <c r="W56" s="128">
        <v>1.2156508669279141E-9</v>
      </c>
      <c r="X56" s="128">
        <f t="shared" si="0"/>
        <v>1.1033693301964149E-9</v>
      </c>
      <c r="Y56" s="139">
        <f t="shared" si="1"/>
        <v>1.2012390994408333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1.44278522774E-2</v>
      </c>
      <c r="J57" s="109">
        <v>1.355205532066875E-9</v>
      </c>
      <c r="K57" s="109">
        <v>1.1739158510034306E-10</v>
      </c>
      <c r="L57" s="152">
        <v>1.1857563456482443E-9</v>
      </c>
      <c r="N57" s="18">
        <v>1.497262580745338E-6</v>
      </c>
      <c r="O57" s="18">
        <v>1.5392483148537927E-10</v>
      </c>
      <c r="P57" s="18">
        <v>5.0509225500401457E-8</v>
      </c>
      <c r="Q57" s="28">
        <v>0.61023171933257703</v>
      </c>
      <c r="R57" s="60">
        <v>160.52320337313526</v>
      </c>
      <c r="S57" s="57">
        <v>2.0131366348238369E-6</v>
      </c>
      <c r="U57" s="127">
        <v>1.073144058777117E-9</v>
      </c>
      <c r="V57" s="127">
        <v>1.1857563456482443E-9</v>
      </c>
      <c r="W57" s="128">
        <v>1.290137368889766E-9</v>
      </c>
      <c r="X57" s="128">
        <f t="shared" si="0"/>
        <v>1.1836985297408429E-9</v>
      </c>
      <c r="Y57" s="139">
        <f t="shared" si="1"/>
        <v>2.1344686418554577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1.4572130800099999E-2</v>
      </c>
      <c r="J58" s="109">
        <v>1.3534940138359541E-9</v>
      </c>
      <c r="K58" s="109">
        <v>1.1615956886086794E-10</v>
      </c>
      <c r="L58" s="152">
        <v>1.2596644093012034E-9</v>
      </c>
      <c r="N58" s="18">
        <v>1.4479889564477464E-6</v>
      </c>
      <c r="O58" s="18">
        <v>1.5392483148537927E-10</v>
      </c>
      <c r="P58" s="18">
        <v>5.0509225500401457E-8</v>
      </c>
      <c r="Q58" s="28">
        <v>0.57779096573949484</v>
      </c>
      <c r="R58" s="60">
        <v>163.34662609354953</v>
      </c>
      <c r="S58" s="57">
        <v>2.0131366348238369E-6</v>
      </c>
      <c r="U58" s="127">
        <v>1.1533590072111192E-9</v>
      </c>
      <c r="V58" s="127">
        <v>1.2596644093012034E-9</v>
      </c>
      <c r="W58" s="128">
        <v>1.3527943503507936E-9</v>
      </c>
      <c r="X58" s="128">
        <f t="shared" si="0"/>
        <v>1.2563705440410798E-9</v>
      </c>
      <c r="Y58" s="139">
        <f t="shared" si="1"/>
        <v>0.69909854142120831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1.4717852108099999E-2</v>
      </c>
      <c r="J59" s="109">
        <v>1.4808251747210882E-9</v>
      </c>
      <c r="K59" s="109">
        <v>1.2299449694264054E-10</v>
      </c>
      <c r="L59" s="152">
        <v>1.3228316400137224E-9</v>
      </c>
      <c r="N59" s="18">
        <v>1.3986735235840113E-6</v>
      </c>
      <c r="O59" s="18">
        <v>1.5392483148537927E-10</v>
      </c>
      <c r="P59" s="18">
        <v>5.0509225500401457E-8</v>
      </c>
      <c r="Q59" s="28">
        <v>0.55803565126484422</v>
      </c>
      <c r="R59" s="60">
        <v>163.34662609354953</v>
      </c>
      <c r="S59" s="57">
        <v>2.0041379982265262E-6</v>
      </c>
      <c r="U59" s="127">
        <v>1.2269209128337866E-9</v>
      </c>
      <c r="V59" s="127">
        <v>1.3228316400137224E-9</v>
      </c>
      <c r="W59" s="128">
        <v>1.4009638988745144E-9</v>
      </c>
      <c r="X59" s="128">
        <f t="shared" si="0"/>
        <v>1.3183870229339366E-9</v>
      </c>
      <c r="Y59" s="139">
        <f t="shared" si="1"/>
        <v>1.7442338795359533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1.4865030629200001E-2</v>
      </c>
      <c r="J60" s="109">
        <v>1.5109062448649231E-9</v>
      </c>
      <c r="K60" s="109">
        <v>1.2339436829029944E-10</v>
      </c>
      <c r="L60" s="152">
        <v>1.37264265369134E-9</v>
      </c>
      <c r="N60" s="18">
        <v>1.349348443233415E-6</v>
      </c>
      <c r="O60" s="18">
        <v>1.5392483148537927E-10</v>
      </c>
      <c r="P60" s="18">
        <v>5.0509225500401457E-8</v>
      </c>
      <c r="Q60" s="28">
        <v>0.54866159745868937</v>
      </c>
      <c r="R60" s="60">
        <v>166.1700488139638</v>
      </c>
      <c r="S60" s="57">
        <v>2.0041379982265262E-6</v>
      </c>
      <c r="U60" s="127">
        <v>1.2908779091590723E-9</v>
      </c>
      <c r="V60" s="127">
        <v>1.37264265369134E-9</v>
      </c>
      <c r="W60" s="128">
        <v>1.4325552757341484E-9</v>
      </c>
      <c r="X60" s="128">
        <f t="shared" si="0"/>
        <v>1.3671796230689751E-9</v>
      </c>
      <c r="Y60" s="139">
        <f t="shared" si="1"/>
        <v>1.3566997900492455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1.50136809355E-2</v>
      </c>
      <c r="J61" s="109">
        <v>1.5247850953471328E-9</v>
      </c>
      <c r="K61" s="109">
        <v>1.2261881803935404E-10</v>
      </c>
      <c r="L61" s="152">
        <v>1.4069869566115111E-9</v>
      </c>
      <c r="N61" s="18">
        <v>1.3144243690258422E-6</v>
      </c>
      <c r="O61" s="18">
        <v>1.5392462373247677E-10</v>
      </c>
      <c r="P61" s="18">
        <v>5.050914391620612E-8</v>
      </c>
      <c r="Q61" s="28">
        <v>0.22727272727272727</v>
      </c>
      <c r="R61" s="60">
        <v>166.1700488139638</v>
      </c>
      <c r="S61" s="57">
        <v>1.9944997317853695E-6</v>
      </c>
      <c r="U61" s="127">
        <v>1.3426493263729932E-9</v>
      </c>
      <c r="V61" s="127">
        <v>1.4069869566115111E-9</v>
      </c>
      <c r="W61" s="128">
        <v>1.4461100088661069E-9</v>
      </c>
      <c r="X61" s="128">
        <f t="shared" si="0"/>
        <v>1.4006833121155306E-9</v>
      </c>
      <c r="Y61" s="139">
        <f t="shared" si="1"/>
        <v>1.0243344828548191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1.5163817744900001E-2</v>
      </c>
      <c r="J62" s="109">
        <v>1.5002408685818081E-9</v>
      </c>
      <c r="K62" s="109">
        <v>8.9678736863796436E-11</v>
      </c>
      <c r="L62" s="152">
        <v>1.4243246428585868E-9</v>
      </c>
      <c r="N62" s="18">
        <v>1.2837078560417024E-6</v>
      </c>
      <c r="O62" s="18">
        <v>1.5392438425026633E-10</v>
      </c>
      <c r="P62" s="18">
        <v>5.0509049871967987E-8</v>
      </c>
      <c r="Q62" s="28">
        <v>0.45454545454545453</v>
      </c>
      <c r="R62" s="60">
        <v>168.99347153437807</v>
      </c>
      <c r="S62" s="57">
        <v>1.9944997317853695E-6</v>
      </c>
      <c r="U62" s="127">
        <v>1.3800989325435953E-9</v>
      </c>
      <c r="V62" s="127">
        <v>1.4243246428585868E-9</v>
      </c>
      <c r="W62" s="128">
        <v>1.440855062882952E-9</v>
      </c>
      <c r="X62" s="128">
        <f t="shared" si="0"/>
        <v>1.4174008202859303E-9</v>
      </c>
      <c r="Y62" s="139">
        <f t="shared" si="1"/>
        <v>0.85329995308667783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1.5315455922300001E-2</v>
      </c>
      <c r="J63" s="109">
        <v>1.4779955401026377E-9</v>
      </c>
      <c r="K63" s="109">
        <v>8.642292318032899E-11</v>
      </c>
      <c r="L63" s="152">
        <v>1.4237416861475814E-9</v>
      </c>
      <c r="N63" s="18">
        <v>1.243202396713137E-6</v>
      </c>
      <c r="O63" s="18">
        <v>1.5392363528405696E-10</v>
      </c>
      <c r="P63" s="18">
        <v>5.0508755754269556E-8</v>
      </c>
      <c r="Q63" s="28">
        <v>0.45454545454545453</v>
      </c>
      <c r="R63" s="60">
        <v>168.99347153437807</v>
      </c>
      <c r="S63" s="57">
        <v>1.9842938486839062E-6</v>
      </c>
      <c r="U63" s="127">
        <v>1.4016009044668376E-9</v>
      </c>
      <c r="V63" s="127">
        <v>1.4237416861475814E-9</v>
      </c>
      <c r="W63" s="128">
        <v>1.4167413047911608E-9</v>
      </c>
      <c r="X63" s="128">
        <f t="shared" si="0"/>
        <v>1.4164563953882902E-9</v>
      </c>
      <c r="Y63" s="139">
        <f t="shared" si="1"/>
        <v>0.50704325324521216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1.54686104815E-2</v>
      </c>
      <c r="J64" s="109">
        <v>1.4794987210134197E-9</v>
      </c>
      <c r="K64" s="109">
        <v>8.7959053995613405E-11</v>
      </c>
      <c r="L64" s="152">
        <v>1.4049923194698822E-9</v>
      </c>
      <c r="N64" s="18">
        <v>1.2036342633214978E-6</v>
      </c>
      <c r="O64" s="18">
        <v>1.5392176934880552E-10</v>
      </c>
      <c r="P64" s="18">
        <v>5.0508023004814749E-8</v>
      </c>
      <c r="Q64" s="28">
        <v>0.45454545454545453</v>
      </c>
      <c r="R64" s="60">
        <v>171.81689425479235</v>
      </c>
      <c r="S64" s="57">
        <v>1.9842938486839062E-6</v>
      </c>
      <c r="U64" s="127">
        <v>1.4060968906676224E-9</v>
      </c>
      <c r="V64" s="127">
        <v>1.4049923194698822E-9</v>
      </c>
      <c r="W64" s="128">
        <v>1.3744638120236931E-9</v>
      </c>
      <c r="X64" s="128">
        <f t="shared" si="0"/>
        <v>1.3976363354077701E-9</v>
      </c>
      <c r="Y64" s="139">
        <f t="shared" si="1"/>
        <v>0.86617908595306758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1.56232965864E-2</v>
      </c>
      <c r="J65" s="109">
        <v>1.4350611795792956E-9</v>
      </c>
      <c r="K65" s="109">
        <v>8.4534815773067851E-11</v>
      </c>
      <c r="L65" s="152">
        <v>1.3685253969312214E-9</v>
      </c>
      <c r="N65" s="18">
        <v>1.1654498622510918E-6</v>
      </c>
      <c r="O65" s="18">
        <v>1.5391732796236246E-10</v>
      </c>
      <c r="P65" s="18">
        <v>5.0506278880257284E-8</v>
      </c>
      <c r="Q65" s="28">
        <v>0.45454545454545453</v>
      </c>
      <c r="R65" s="60">
        <v>171.81689425479235</v>
      </c>
      <c r="S65" s="57">
        <v>1.973609907005142E-6</v>
      </c>
      <c r="U65" s="127">
        <v>1.3931419134224497E-9</v>
      </c>
      <c r="V65" s="127">
        <v>1.3685253969312214E-9</v>
      </c>
      <c r="W65" s="128">
        <v>1.3154602104204595E-9</v>
      </c>
      <c r="X65" s="128">
        <f t="shared" si="0"/>
        <v>1.3614132294263381E-9</v>
      </c>
      <c r="Y65" s="139">
        <f t="shared" si="1"/>
        <v>0.75901455859585776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1.5779529552200001E-2</v>
      </c>
      <c r="J66" s="109">
        <v>1.4063033982251567E-9</v>
      </c>
      <c r="K66" s="109">
        <v>8.2289606614084036E-11</v>
      </c>
      <c r="L66" s="152">
        <v>1.315491269796956E-9</v>
      </c>
      <c r="N66" s="18">
        <v>1.1290813468418902E-6</v>
      </c>
      <c r="O66" s="18">
        <v>1.5390722782781785E-10</v>
      </c>
      <c r="P66" s="18">
        <v>5.0502312575384026E-8</v>
      </c>
      <c r="Q66" s="28">
        <v>0.45454545454545453</v>
      </c>
      <c r="R66" s="60">
        <v>174.64031697520662</v>
      </c>
      <c r="S66" s="57">
        <v>1.973609907005142E-6</v>
      </c>
      <c r="U66" s="127">
        <v>1.3629363221367678E-9</v>
      </c>
      <c r="V66" s="127">
        <v>1.315491269796956E-9</v>
      </c>
      <c r="W66" s="128">
        <v>1.241883295908432E-9</v>
      </c>
      <c r="X66" s="128">
        <f t="shared" si="0"/>
        <v>1.3089505394097779E-9</v>
      </c>
      <c r="Y66" s="139">
        <f t="shared" si="1"/>
        <v>1.3996113196471194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1.59373248477E-2</v>
      </c>
      <c r="J67" s="109">
        <v>1.4062450965513598E-9</v>
      </c>
      <c r="K67" s="109">
        <v>8.2994965936209744E-11</v>
      </c>
      <c r="L67" s="152">
        <v>1.2477256826495354E-9</v>
      </c>
      <c r="N67" s="18">
        <v>1.0949627912262054E-6</v>
      </c>
      <c r="O67" s="18">
        <v>1.5388528355918637E-10</v>
      </c>
      <c r="P67" s="18">
        <v>5.0493695100118872E-8</v>
      </c>
      <c r="Q67" s="28">
        <v>0.45454545454545453</v>
      </c>
      <c r="R67" s="60">
        <v>174.64031697520662</v>
      </c>
      <c r="S67" s="57">
        <v>1.9625527951017617E-6</v>
      </c>
      <c r="U67" s="127">
        <v>1.3163406472347644E-9</v>
      </c>
      <c r="V67" s="127">
        <v>1.2477256826495354E-9</v>
      </c>
      <c r="W67" s="128">
        <v>1.1565447695289276E-9</v>
      </c>
      <c r="X67" s="128">
        <f t="shared" ref="X67:X130" si="2">(U67+2*V67+W67)/4</f>
        <v>1.2420841955156907E-9</v>
      </c>
      <c r="Y67" s="139">
        <f t="shared" ref="Y67:Y130" si="3">(J67-X67)*(J67-X67)/(K67*K67)</f>
        <v>3.9123342560273788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1.6096698096199999E-2</v>
      </c>
      <c r="J68" s="109">
        <v>1.2165767871428304E-9</v>
      </c>
      <c r="K68" s="109">
        <v>7.964408074422228E-11</v>
      </c>
      <c r="L68" s="152">
        <v>1.1677075909548232E-9</v>
      </c>
      <c r="N68" s="18">
        <v>1.0635676027029699E-6</v>
      </c>
      <c r="O68" s="18">
        <v>1.5383973244666914E-10</v>
      </c>
      <c r="P68" s="18">
        <v>5.0475807259242999E-8</v>
      </c>
      <c r="Q68" s="28">
        <v>0.45454545454545453</v>
      </c>
      <c r="R68" s="60">
        <v>177.46373969562089</v>
      </c>
      <c r="S68" s="57">
        <v>1.9625527951017617E-6</v>
      </c>
      <c r="U68" s="127">
        <v>1.2548701041875467E-9</v>
      </c>
      <c r="V68" s="127">
        <v>1.1677075909548232E-9</v>
      </c>
      <c r="W68" s="128">
        <v>1.0628280454980635E-9</v>
      </c>
      <c r="X68" s="128">
        <f t="shared" si="2"/>
        <v>1.1632783328988141E-9</v>
      </c>
      <c r="Y68" s="139">
        <f t="shared" si="3"/>
        <v>0.44783931797860654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1.6257665077200001E-2</v>
      </c>
      <c r="J69" s="109">
        <v>1.3757391727777813E-9</v>
      </c>
      <c r="K69" s="109">
        <v>1.2197887639251558E-10</v>
      </c>
      <c r="L69" s="152">
        <v>1.0784886616873921E-9</v>
      </c>
      <c r="N69" s="18">
        <v>1.0354741219676745E-6</v>
      </c>
      <c r="O69" s="18">
        <v>1.5374939678812531E-10</v>
      </c>
      <c r="P69" s="18">
        <v>5.0440332606788841E-8</v>
      </c>
      <c r="Q69" s="28">
        <v>0.45454545454545453</v>
      </c>
      <c r="R69" s="60">
        <v>177.46373969562089</v>
      </c>
      <c r="S69" s="57">
        <v>1.9512396914304034E-6</v>
      </c>
      <c r="U69" s="127">
        <v>1.1806657348754946E-9</v>
      </c>
      <c r="V69" s="127">
        <v>1.0784886616873921E-9</v>
      </c>
      <c r="W69" s="128">
        <v>9.6456974919551416E-10</v>
      </c>
      <c r="X69" s="128">
        <f t="shared" si="2"/>
        <v>1.0755532018614482E-9</v>
      </c>
      <c r="Y69" s="139">
        <f t="shared" si="3"/>
        <v>6.0563578252628449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1.6420241727999999E-2</v>
      </c>
      <c r="J70" s="109">
        <v>1.0273236239122577E-9</v>
      </c>
      <c r="K70" s="109">
        <v>1.0255706734196143E-10</v>
      </c>
      <c r="L70" s="152">
        <v>9.8359355221119192E-10</v>
      </c>
      <c r="N70" s="18">
        <v>1.011463971824994E-6</v>
      </c>
      <c r="O70" s="18">
        <v>1.5357823763804676E-10</v>
      </c>
      <c r="P70" s="18">
        <v>5.0373118712948229E-8</v>
      </c>
      <c r="Q70" s="28">
        <v>0.45454545454545453</v>
      </c>
      <c r="R70" s="60">
        <v>180.28716241603516</v>
      </c>
      <c r="S70" s="57">
        <v>1.9512396914304034E-6</v>
      </c>
      <c r="U70" s="127">
        <v>1.096439804743518E-9</v>
      </c>
      <c r="V70" s="127">
        <v>9.8359355221119192E-10</v>
      </c>
      <c r="W70" s="128">
        <v>8.6591162382150075E-10</v>
      </c>
      <c r="X70" s="128">
        <f t="shared" si="2"/>
        <v>9.823846332468506E-10</v>
      </c>
      <c r="Y70" s="139">
        <f t="shared" si="3"/>
        <v>0.19200628317781909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1.6584444145200002E-2</v>
      </c>
      <c r="J71" s="109">
        <v>7.8387923533468792E-10</v>
      </c>
      <c r="K71" s="109">
        <v>8.8990499571353687E-11</v>
      </c>
      <c r="L71" s="152">
        <v>8.8689181219649635E-10</v>
      </c>
      <c r="N71" s="18">
        <v>9.9265097474254156E-7</v>
      </c>
      <c r="O71" s="18">
        <v>1.5326841009825541E-10</v>
      </c>
      <c r="P71" s="18">
        <v>5.0251449989079967E-8</v>
      </c>
      <c r="Q71" s="28">
        <v>0.45454545454545453</v>
      </c>
      <c r="R71" s="60">
        <v>180.28716241603516</v>
      </c>
      <c r="S71" s="57">
        <v>1.9426623034026191E-6</v>
      </c>
      <c r="U71" s="127">
        <v>1.0053941175348762E-9</v>
      </c>
      <c r="V71" s="127">
        <v>8.8689181219649635E-10</v>
      </c>
      <c r="W71" s="128">
        <v>7.7112694270710667E-10</v>
      </c>
      <c r="X71" s="128">
        <f t="shared" si="2"/>
        <v>8.8757617115874381E-10</v>
      </c>
      <c r="Y71" s="139">
        <f t="shared" si="3"/>
        <v>1.3578273660422036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1.67502885867E-2</v>
      </c>
      <c r="J72" s="109">
        <v>8.3683334000511413E-10</v>
      </c>
      <c r="K72" s="109">
        <v>9.3751821595968856E-11</v>
      </c>
      <c r="L72" s="152">
        <v>7.9244430308362203E-10</v>
      </c>
      <c r="N72" s="18">
        <v>9.8062614765397006E-7</v>
      </c>
      <c r="O72" s="18">
        <v>1.5273259210709308E-10</v>
      </c>
      <c r="P72" s="18">
        <v>5.0041035216867413E-8</v>
      </c>
      <c r="Q72" s="28">
        <v>0.45454545454545453</v>
      </c>
      <c r="R72" s="60">
        <v>181.69887377624229</v>
      </c>
      <c r="S72" s="57">
        <v>1.9426623034026191E-6</v>
      </c>
      <c r="U72" s="127">
        <v>9.1111133864109533E-10</v>
      </c>
      <c r="V72" s="127">
        <v>7.9244430308362203E-10</v>
      </c>
      <c r="W72" s="128">
        <v>6.8442795388405991E-10</v>
      </c>
      <c r="X72" s="128">
        <f t="shared" si="2"/>
        <v>7.951069746730999E-10</v>
      </c>
      <c r="Y72" s="139">
        <f t="shared" si="3"/>
        <v>0.19808960350538662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1.6917791472599999E-2</v>
      </c>
      <c r="J73" s="109">
        <v>5.5300764764296075E-10</v>
      </c>
      <c r="K73" s="109">
        <v>7.8508020573284545E-11</v>
      </c>
      <c r="L73" s="152">
        <v>7.0432920812605818E-10</v>
      </c>
      <c r="N73" s="18">
        <v>9.7758703755959513E-7</v>
      </c>
      <c r="O73" s="18">
        <v>1.5184729200633146E-10</v>
      </c>
      <c r="P73" s="18">
        <v>4.9693379441746038E-8</v>
      </c>
      <c r="Q73" s="28">
        <v>0.45454545454545453</v>
      </c>
      <c r="R73" s="60">
        <v>181.69887377624229</v>
      </c>
      <c r="S73" s="57">
        <v>1.9329103111327241E-6</v>
      </c>
      <c r="U73" s="127">
        <v>8.174211583128465E-10</v>
      </c>
      <c r="V73" s="127">
        <v>7.0432920812605818E-10</v>
      </c>
      <c r="W73" s="128">
        <v>6.097631019748865E-10</v>
      </c>
      <c r="X73" s="128">
        <f t="shared" si="2"/>
        <v>7.0896066913496242E-10</v>
      </c>
      <c r="Y73" s="139">
        <f t="shared" si="3"/>
        <v>3.9460222660551332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1.7086969387300002E-2</v>
      </c>
      <c r="J74" s="109">
        <v>7.6433692189483007E-10</v>
      </c>
      <c r="K74" s="109">
        <v>9.162990746532813E-11</v>
      </c>
      <c r="L74" s="152">
        <v>6.26454793392439E-10</v>
      </c>
      <c r="N74" s="18">
        <v>9.8640134646131511E-7</v>
      </c>
      <c r="O74" s="18">
        <v>1.5044983463714939E-10</v>
      </c>
      <c r="P74" s="18">
        <v>4.9144600418153815E-8</v>
      </c>
      <c r="Q74" s="28">
        <v>0.45454545454545453</v>
      </c>
      <c r="R74" s="60">
        <v>185.10690174042634</v>
      </c>
      <c r="S74" s="57">
        <v>1.9329103111327241E-6</v>
      </c>
      <c r="U74" s="127">
        <v>7.2824504445941927E-10</v>
      </c>
      <c r="V74" s="127">
        <v>6.26454793392439E-10</v>
      </c>
      <c r="W74" s="128">
        <v>5.5061450773770875E-10</v>
      </c>
      <c r="X74" s="128">
        <f t="shared" si="2"/>
        <v>6.3294228474550148E-10</v>
      </c>
      <c r="Y74" s="139">
        <f t="shared" si="3"/>
        <v>2.0562730514209657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1.7257839081199999E-2</v>
      </c>
      <c r="J75" s="109">
        <v>6.3882429915676733E-10</v>
      </c>
      <c r="K75" s="109">
        <v>8.2761083131299276E-11</v>
      </c>
      <c r="L75" s="152">
        <v>5.623678551073348E-10</v>
      </c>
      <c r="N75" s="18">
        <v>1.0105429904862265E-6</v>
      </c>
      <c r="O75" s="18">
        <v>1.4834236768904425E-10</v>
      </c>
      <c r="P75" s="18">
        <v>4.8317001895623606E-8</v>
      </c>
      <c r="Q75" s="28">
        <v>0.45454545454545453</v>
      </c>
      <c r="R75" s="60">
        <v>185.10690174042634</v>
      </c>
      <c r="S75" s="57">
        <v>1.919138567724728E-6</v>
      </c>
      <c r="U75" s="127">
        <v>6.4742527105070873E-10</v>
      </c>
      <c r="V75" s="127">
        <v>5.623678551073348E-10</v>
      </c>
      <c r="W75" s="128">
        <v>5.098072178389786E-10</v>
      </c>
      <c r="X75" s="128">
        <f t="shared" si="2"/>
        <v>5.7049204977608923E-10</v>
      </c>
      <c r="Y75" s="139">
        <f t="shared" si="3"/>
        <v>0.68170911782477939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1.7430417472000002E-2</v>
      </c>
      <c r="J76" s="109">
        <v>6.1021942278825275E-10</v>
      </c>
      <c r="K76" s="109">
        <v>8.2076271049749306E-11</v>
      </c>
      <c r="L76" s="152">
        <v>5.1506802795357644E-10</v>
      </c>
      <c r="N76" s="18">
        <v>1.053843293947234E-6</v>
      </c>
      <c r="O76" s="18">
        <v>1.4530598180669824E-10</v>
      </c>
      <c r="P76" s="18">
        <v>4.7124618559637941E-8</v>
      </c>
      <c r="Q76" s="28">
        <v>0.45454545454545453</v>
      </c>
      <c r="R76" s="60">
        <v>188.57315692090748</v>
      </c>
      <c r="S76" s="57">
        <v>1.919138567724728E-6</v>
      </c>
      <c r="U76" s="127">
        <v>5.7854565981009477E-10</v>
      </c>
      <c r="V76" s="127">
        <v>5.1506802795357644E-10</v>
      </c>
      <c r="W76" s="128">
        <v>4.8934190476614446E-10</v>
      </c>
      <c r="X76" s="128">
        <f t="shared" si="2"/>
        <v>5.2450590512084803E-10</v>
      </c>
      <c r="Y76" s="139">
        <f t="shared" si="3"/>
        <v>1.0905947522827781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1.7604721646699999E-2</v>
      </c>
      <c r="J77" s="109">
        <v>6.4361917129297834E-10</v>
      </c>
      <c r="K77" s="109">
        <v>8.533338462261884E-11</v>
      </c>
      <c r="L77" s="152">
        <v>4.8683867262278088E-10</v>
      </c>
      <c r="N77" s="18">
        <v>1.1200291416592184E-6</v>
      </c>
      <c r="O77" s="18">
        <v>1.4112645118160966E-10</v>
      </c>
      <c r="P77" s="18">
        <v>4.5483324316184636E-8</v>
      </c>
      <c r="Q77" s="28">
        <v>0.45454545454545453</v>
      </c>
      <c r="R77" s="60">
        <v>188.57315692090748</v>
      </c>
      <c r="S77" s="57">
        <v>1.9053695179304605E-6</v>
      </c>
      <c r="U77" s="127">
        <v>5.2475285035469851E-10</v>
      </c>
      <c r="V77" s="127">
        <v>4.8683867262278088E-10</v>
      </c>
      <c r="W77" s="128">
        <v>4.9026195479217185E-10</v>
      </c>
      <c r="X77" s="128">
        <f t="shared" si="2"/>
        <v>4.9717303759810805E-10</v>
      </c>
      <c r="Y77" s="139">
        <f t="shared" si="3"/>
        <v>2.9452209265441778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1.77807688631E-2</v>
      </c>
      <c r="J78" s="109">
        <v>5.6452010113556105E-10</v>
      </c>
      <c r="K78" s="109">
        <v>7.6444663894747833E-11</v>
      </c>
      <c r="L78" s="152">
        <v>4.7910482212598269E-10</v>
      </c>
      <c r="N78" s="18">
        <v>1.2120746870923154E-6</v>
      </c>
      <c r="O78" s="18">
        <v>1.3563011623289256E-10</v>
      </c>
      <c r="P78" s="18">
        <v>4.3324923356691892E-8</v>
      </c>
      <c r="Q78" s="28">
        <v>0.45454545454545453</v>
      </c>
      <c r="R78" s="60">
        <v>192.16212282960927</v>
      </c>
      <c r="S78" s="57">
        <v>1.9053695179304605E-6</v>
      </c>
      <c r="U78" s="127">
        <v>4.8858775347675072E-10</v>
      </c>
      <c r="V78" s="127">
        <v>4.7910482212598269E-10</v>
      </c>
      <c r="W78" s="128">
        <v>5.1256429243304374E-10</v>
      </c>
      <c r="X78" s="128">
        <f t="shared" si="2"/>
        <v>4.8984042254043994E-10</v>
      </c>
      <c r="Y78" s="139">
        <f t="shared" si="3"/>
        <v>0.95435626599082535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1.7958576551799998E-2</v>
      </c>
      <c r="J79" s="109">
        <v>4.8329566770891456E-10</v>
      </c>
      <c r="K79" s="109">
        <v>7.2901487860099364E-11</v>
      </c>
      <c r="L79" s="152">
        <v>4.9232764415520473E-10</v>
      </c>
      <c r="N79" s="18">
        <v>1.3314631088803327E-6</v>
      </c>
      <c r="O79" s="18">
        <v>1.2872462070995875E-10</v>
      </c>
      <c r="P79" s="18">
        <v>4.0613147545803174E-8</v>
      </c>
      <c r="Q79" s="28">
        <v>0.45454545454545453</v>
      </c>
      <c r="R79" s="60">
        <v>192.16212282960927</v>
      </c>
      <c r="S79" s="57">
        <v>1.8916121412412559E-6</v>
      </c>
      <c r="U79" s="127">
        <v>4.7183702625635601E-10</v>
      </c>
      <c r="V79" s="127">
        <v>4.9232764415520473E-10</v>
      </c>
      <c r="W79" s="128">
        <v>5.5516101061806938E-10</v>
      </c>
      <c r="X79" s="128">
        <f t="shared" si="2"/>
        <v>5.0291333129620869E-10</v>
      </c>
      <c r="Y79" s="139">
        <f t="shared" si="3"/>
        <v>7.2413873924309757E-2</v>
      </c>
      <c r="AA79" s="73"/>
      <c r="AB79" s="176"/>
      <c r="AC79" s="176"/>
      <c r="AD79" s="176"/>
      <c r="AJ79" s="135"/>
    </row>
    <row r="80" spans="2:36" x14ac:dyDescent="0.35">
      <c r="I80" s="109">
        <v>1.8138162317300002E-2</v>
      </c>
      <c r="J80" s="109">
        <v>4.9783805869487469E-10</v>
      </c>
      <c r="K80" s="109">
        <v>7.5056378441181549E-11</v>
      </c>
      <c r="L80" s="152">
        <v>5.2594316578370574E-10</v>
      </c>
      <c r="N80" s="18">
        <v>1.4775176409391379E-6</v>
      </c>
      <c r="O80" s="18">
        <v>1.2043579780249245E-10</v>
      </c>
      <c r="P80" s="18">
        <v>3.7358141531164883E-8</v>
      </c>
      <c r="Q80" s="28">
        <v>0.45454545454545453</v>
      </c>
      <c r="R80" s="60">
        <v>195.95259545198763</v>
      </c>
      <c r="S80" s="57">
        <v>1.8916121412412559E-6</v>
      </c>
      <c r="U80" s="127">
        <v>4.7541389737685034E-10</v>
      </c>
      <c r="V80" s="127">
        <v>5.2594316578370574E-10</v>
      </c>
      <c r="W80" s="128">
        <v>6.1589613608974941E-10</v>
      </c>
      <c r="X80" s="128">
        <f t="shared" si="2"/>
        <v>5.3579909125850281E-10</v>
      </c>
      <c r="Y80" s="139">
        <f t="shared" si="3"/>
        <v>0.25580016676093981</v>
      </c>
      <c r="AA80" s="73"/>
      <c r="AB80" s="176"/>
      <c r="AC80" s="176"/>
      <c r="AD80" s="176"/>
      <c r="AJ80" s="135"/>
    </row>
    <row r="81" spans="2:36" x14ac:dyDescent="0.35">
      <c r="I81" s="109">
        <v>1.8319543940500001E-2</v>
      </c>
      <c r="J81" s="109">
        <v>5.5072720611409418E-10</v>
      </c>
      <c r="K81" s="109">
        <v>7.808700497461399E-11</v>
      </c>
      <c r="L81" s="152">
        <v>5.7835076840273656E-10</v>
      </c>
      <c r="N81" s="18">
        <v>1.6469890439579994E-6</v>
      </c>
      <c r="O81" s="18">
        <v>1.1093048112340735E-10</v>
      </c>
      <c r="P81" s="18">
        <v>3.3625420575865659E-8</v>
      </c>
      <c r="Q81" s="28">
        <v>0.45454545454545453</v>
      </c>
      <c r="R81" s="60">
        <v>195.95259545198763</v>
      </c>
      <c r="S81" s="57">
        <v>1.8778884632352251E-6</v>
      </c>
      <c r="U81" s="127">
        <v>4.9927649756448112E-10</v>
      </c>
      <c r="V81" s="127">
        <v>5.7835076840273656E-10</v>
      </c>
      <c r="W81" s="128">
        <v>6.916189116149246E-10</v>
      </c>
      <c r="X81" s="128">
        <f t="shared" si="2"/>
        <v>5.8689923649621971E-10</v>
      </c>
      <c r="Y81" s="139">
        <f t="shared" si="3"/>
        <v>0.21457950658149702</v>
      </c>
      <c r="AA81" s="73"/>
      <c r="AB81" s="176"/>
      <c r="AC81" s="176"/>
      <c r="AD81" s="176"/>
      <c r="AJ81" s="135"/>
    </row>
    <row r="82" spans="2:36" x14ac:dyDescent="0.35">
      <c r="I82" s="109">
        <v>1.8502739379900001E-2</v>
      </c>
      <c r="J82" s="109">
        <v>5.999182659729849E-10</v>
      </c>
      <c r="K82" s="109">
        <v>8.0714882107202606E-11</v>
      </c>
      <c r="L82" s="152">
        <v>6.4695439744987567E-10</v>
      </c>
      <c r="N82" s="18">
        <v>1.8340586949659992E-6</v>
      </c>
      <c r="O82" s="18">
        <v>1.0051655036892841E-10</v>
      </c>
      <c r="P82" s="18">
        <v>2.9535888489069367E-8</v>
      </c>
      <c r="Q82" s="28">
        <v>0.45454545454545453</v>
      </c>
      <c r="R82" s="60">
        <v>200.05040203099324</v>
      </c>
      <c r="S82" s="57">
        <v>1.8778884632352251E-6</v>
      </c>
      <c r="U82" s="127">
        <v>5.4239011811129969E-10</v>
      </c>
      <c r="V82" s="127">
        <v>6.4695439744987567E-10</v>
      </c>
      <c r="W82" s="128">
        <v>7.7831204937280726E-10</v>
      </c>
      <c r="X82" s="128">
        <f t="shared" si="2"/>
        <v>6.5365274059596452E-10</v>
      </c>
      <c r="Y82" s="139">
        <f t="shared" si="3"/>
        <v>0.44319900885745256</v>
      </c>
      <c r="AA82" s="73"/>
      <c r="AB82" s="176"/>
      <c r="AC82" s="176"/>
      <c r="AD82" s="176"/>
      <c r="AJ82" s="135"/>
    </row>
    <row r="83" spans="2:36" x14ac:dyDescent="0.35">
      <c r="I83" s="109">
        <v>1.8687766773700001E-2</v>
      </c>
      <c r="J83" s="109">
        <v>8.7242603889734828E-10</v>
      </c>
      <c r="K83" s="109">
        <v>9.809482292849505E-11</v>
      </c>
      <c r="L83" s="152">
        <v>7.2825675064965527E-10</v>
      </c>
      <c r="N83" s="18">
        <v>1.9812134662840552E-6</v>
      </c>
      <c r="O83" s="18">
        <v>9.2360844852852474E-11</v>
      </c>
      <c r="P83" s="18">
        <v>2.6333157437289582E-8</v>
      </c>
      <c r="Q83" s="28">
        <v>0.22727272727272727</v>
      </c>
      <c r="R83" s="60">
        <v>200.05040203099324</v>
      </c>
      <c r="S83" s="57">
        <v>1.8642442715677828E-6</v>
      </c>
      <c r="U83" s="127">
        <v>6.0273767919964261E-10</v>
      </c>
      <c r="V83" s="127">
        <v>7.2825675064965527E-10</v>
      </c>
      <c r="W83" s="128">
        <v>8.7127068275625716E-10</v>
      </c>
      <c r="X83" s="128">
        <f t="shared" si="2"/>
        <v>7.326304658138025E-10</v>
      </c>
      <c r="Y83" s="139">
        <f t="shared" si="3"/>
        <v>2.0309286325688478</v>
      </c>
      <c r="AA83" s="73"/>
      <c r="AB83" s="176"/>
      <c r="AC83" s="176"/>
      <c r="AD83" s="176"/>
      <c r="AJ83" s="135"/>
    </row>
    <row r="84" spans="2:36" x14ac:dyDescent="0.35">
      <c r="I84" s="109">
        <v>1.8874644441399999E-2</v>
      </c>
      <c r="J84" s="109">
        <v>1.0047874089560514E-9</v>
      </c>
      <c r="K84" s="109">
        <v>1.0267425401847691E-10</v>
      </c>
      <c r="L84" s="152">
        <v>8.1800408515017936E-10</v>
      </c>
      <c r="N84" s="18">
        <v>2.0823394542220977E-6</v>
      </c>
      <c r="O84" s="18">
        <v>8.6317846783659503E-11</v>
      </c>
      <c r="P84" s="18">
        <v>2.3960082842590184E-8</v>
      </c>
      <c r="Q84" s="28">
        <v>0.27433079872934468</v>
      </c>
      <c r="R84" s="60">
        <v>204.61191869799012</v>
      </c>
      <c r="S84" s="57">
        <v>1.8642442715677828E-6</v>
      </c>
      <c r="U84" s="127">
        <v>6.7738031424247425E-10</v>
      </c>
      <c r="V84" s="127">
        <v>8.1800408515017936E-10</v>
      </c>
      <c r="W84" s="128">
        <v>9.6532531054159507E-10</v>
      </c>
      <c r="X84" s="128">
        <f t="shared" si="2"/>
        <v>8.1967844877110691E-10</v>
      </c>
      <c r="Y84" s="139">
        <f t="shared" si="3"/>
        <v>3.2503622856718999</v>
      </c>
      <c r="AA84" s="73"/>
      <c r="AB84" s="176"/>
      <c r="AC84" s="176"/>
      <c r="AD84" s="176"/>
      <c r="AJ84" s="135"/>
    </row>
    <row r="85" spans="2:36" x14ac:dyDescent="0.35">
      <c r="I85" s="109">
        <v>1.9063390885799999E-2</v>
      </c>
      <c r="J85" s="109">
        <v>9.2399530744270828E-10</v>
      </c>
      <c r="K85" s="109">
        <v>1.0156299284467763E-10</v>
      </c>
      <c r="L85" s="152">
        <v>9.1137684224211771E-10</v>
      </c>
      <c r="N85" s="18">
        <v>2.2031849623988735E-6</v>
      </c>
      <c r="O85" s="18">
        <v>7.9721203172187416E-11</v>
      </c>
      <c r="P85" s="18">
        <v>2.1369592628059781E-8</v>
      </c>
      <c r="Q85" s="28">
        <v>0.27901782563242211</v>
      </c>
      <c r="R85" s="60">
        <v>204.61191869799012</v>
      </c>
      <c r="S85" s="57">
        <v>1.8507689153093054E-6</v>
      </c>
      <c r="U85" s="127">
        <v>7.6256753178306447E-10</v>
      </c>
      <c r="V85" s="127">
        <v>9.1137684224211771E-10</v>
      </c>
      <c r="W85" s="128">
        <v>1.0550999129509001E-9</v>
      </c>
      <c r="X85" s="128">
        <f t="shared" si="2"/>
        <v>9.1010528230454994E-10</v>
      </c>
      <c r="Y85" s="139">
        <f t="shared" si="3"/>
        <v>1.87040253834641E-2</v>
      </c>
      <c r="AA85" s="73"/>
      <c r="AB85" s="176"/>
      <c r="AC85" s="176"/>
      <c r="AD85" s="176"/>
      <c r="AJ85" s="135"/>
    </row>
    <row r="86" spans="2:36" x14ac:dyDescent="0.35">
      <c r="I86" s="109">
        <v>1.9254024794699998E-2</v>
      </c>
      <c r="J86" s="109">
        <v>1.0850717921962083E-9</v>
      </c>
      <c r="K86" s="109">
        <v>1.073972147906014E-10</v>
      </c>
      <c r="L86" s="152">
        <v>1.0032190847577651E-9</v>
      </c>
      <c r="N86" s="18">
        <v>2.3240068344164358E-6</v>
      </c>
      <c r="O86" s="18">
        <v>7.3125849797489764E-11</v>
      </c>
      <c r="P86" s="18">
        <v>1.8779609087216092E-8</v>
      </c>
      <c r="Q86" s="28">
        <v>0.28889548286974742</v>
      </c>
      <c r="R86" s="60">
        <v>209.89447496794313</v>
      </c>
      <c r="S86" s="57">
        <v>1.8507689153093054E-6</v>
      </c>
      <c r="U86" s="127">
        <v>8.5389403509133337E-10</v>
      </c>
      <c r="V86" s="127">
        <v>1.0032190847577651E-9</v>
      </c>
      <c r="W86" s="128">
        <v>1.1352945819643058E-9</v>
      </c>
      <c r="X86" s="128">
        <f t="shared" si="2"/>
        <v>9.9890669664279236E-10</v>
      </c>
      <c r="Y86" s="139">
        <f t="shared" si="3"/>
        <v>0.64368992355168653</v>
      </c>
      <c r="AA86" s="73"/>
      <c r="AB86" s="176"/>
      <c r="AC86" s="176"/>
      <c r="AD86" s="176"/>
      <c r="AJ86" s="135"/>
    </row>
    <row r="87" spans="2:36" x14ac:dyDescent="0.35">
      <c r="I87" s="109">
        <v>1.9446565042599999E-2</v>
      </c>
      <c r="J87" s="109">
        <v>1.0729340140940694E-9</v>
      </c>
      <c r="K87" s="109">
        <v>1.0654823776198164E-10</v>
      </c>
      <c r="L87" s="152">
        <v>1.0882977805459813E-9</v>
      </c>
      <c r="N87" s="18">
        <v>2.4447262762425861E-6</v>
      </c>
      <c r="O87" s="18">
        <v>6.6536087821909837E-11</v>
      </c>
      <c r="P87" s="18">
        <v>1.619182127886201E-8</v>
      </c>
      <c r="Q87" s="28">
        <v>0.30511585966628851</v>
      </c>
      <c r="R87" s="60">
        <v>209.89447496794313</v>
      </c>
      <c r="S87" s="57">
        <v>1.8376353775179508E-6</v>
      </c>
      <c r="U87" s="127">
        <v>9.4649804832074166E-10</v>
      </c>
      <c r="V87" s="127">
        <v>1.0882977805459813E-9</v>
      </c>
      <c r="W87" s="128">
        <v>1.2009803865858555E-9</v>
      </c>
      <c r="X87" s="128">
        <f t="shared" si="2"/>
        <v>1.08101849899964E-9</v>
      </c>
      <c r="Y87" s="139">
        <f t="shared" si="3"/>
        <v>5.7572112675932617E-3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1.9641030693100001E-2</v>
      </c>
      <c r="J88" s="109">
        <v>1.3056364052495602E-9</v>
      </c>
      <c r="K88" s="109">
        <v>1.176876717104848E-10</v>
      </c>
      <c r="L88" s="152">
        <v>1.1615812097036946E-9</v>
      </c>
      <c r="N88" s="18">
        <v>2.5651500158927381E-6</v>
      </c>
      <c r="O88" s="18">
        <v>5.9962467463007486E-11</v>
      </c>
      <c r="P88" s="18">
        <v>1.3610372254670404E-8</v>
      </c>
      <c r="Q88" s="28">
        <v>0.32985484968757195</v>
      </c>
      <c r="R88" s="60">
        <v>216.3858059282106</v>
      </c>
      <c r="S88" s="57">
        <v>1.8376353775179508E-6</v>
      </c>
      <c r="U88" s="127">
        <v>1.0352939516335188E-9</v>
      </c>
      <c r="V88" s="127">
        <v>1.1615812097036946E-9</v>
      </c>
      <c r="W88" s="128">
        <v>1.2478927350854937E-9</v>
      </c>
      <c r="X88" s="128">
        <f t="shared" si="2"/>
        <v>1.1515872765316005E-9</v>
      </c>
      <c r="Y88" s="139">
        <f t="shared" si="3"/>
        <v>1.7133912735376526</v>
      </c>
      <c r="AA88" s="73"/>
      <c r="AB88" s="176"/>
      <c r="AC88" s="176"/>
      <c r="AD88" s="176"/>
      <c r="AJ88" s="135"/>
    </row>
    <row r="89" spans="2:36" x14ac:dyDescent="0.35">
      <c r="I89" s="109">
        <v>1.9837441000000001E-2</v>
      </c>
      <c r="J89" s="109">
        <v>1.1544429911154351E-9</v>
      </c>
      <c r="K89" s="109">
        <v>1.1268776937433483E-10</v>
      </c>
      <c r="L89" s="152">
        <v>1.2185241829618334E-9</v>
      </c>
      <c r="N89" s="18">
        <v>2.6848762718115108E-6</v>
      </c>
      <c r="O89" s="18">
        <v>5.3426920936307296E-11</v>
      </c>
      <c r="P89" s="18">
        <v>1.1043874756672797E-8</v>
      </c>
      <c r="Q89" s="28">
        <v>0.36718140925644527</v>
      </c>
      <c r="R89" s="60">
        <v>216.3858059282106</v>
      </c>
      <c r="S89" s="57">
        <v>1.8251906572949773E-6</v>
      </c>
      <c r="U89" s="127">
        <v>1.1152301606119565E-9</v>
      </c>
      <c r="V89" s="127">
        <v>1.2185241829618334E-9</v>
      </c>
      <c r="W89" s="128">
        <v>1.2727082034026522E-9</v>
      </c>
      <c r="X89" s="128">
        <f t="shared" si="2"/>
        <v>1.2062466824845688E-9</v>
      </c>
      <c r="Y89" s="139">
        <f t="shared" si="3"/>
        <v>0.21133325888915244</v>
      </c>
      <c r="AA89" s="73"/>
      <c r="AB89" s="176"/>
      <c r="AC89" s="176"/>
      <c r="AD89" s="176"/>
      <c r="AJ89" s="135"/>
    </row>
    <row r="90" spans="2:36" x14ac:dyDescent="0.35">
      <c r="I90" s="109">
        <v>2.0035815410000001E-2</v>
      </c>
      <c r="J90" s="109">
        <v>1.4558268047620667E-9</v>
      </c>
      <c r="K90" s="109">
        <v>1.2771995340293321E-10</v>
      </c>
      <c r="L90" s="152">
        <v>1.2553463282539075E-9</v>
      </c>
      <c r="N90" s="18">
        <v>2.803121015899125E-6</v>
      </c>
      <c r="O90" s="18">
        <v>4.69722463071545E-11</v>
      </c>
      <c r="P90" s="18">
        <v>8.5091355090167258E-9</v>
      </c>
      <c r="Q90" s="28">
        <v>0.42522182801861985</v>
      </c>
      <c r="R90" s="60">
        <v>225.24564890413603</v>
      </c>
      <c r="S90" s="57">
        <v>1.8251906572949773E-6</v>
      </c>
      <c r="U90" s="127">
        <v>1.1815614808709844E-9</v>
      </c>
      <c r="V90" s="127">
        <v>1.2553463282539075E-9</v>
      </c>
      <c r="W90" s="128">
        <v>1.2732887631592891E-9</v>
      </c>
      <c r="X90" s="128">
        <f t="shared" si="2"/>
        <v>1.2413857251345222E-9</v>
      </c>
      <c r="Y90" s="139">
        <f t="shared" si="3"/>
        <v>2.8190220137063604</v>
      </c>
      <c r="AA90" s="73"/>
      <c r="AB90" s="176"/>
      <c r="AC90" s="176"/>
      <c r="AD90" s="176"/>
      <c r="AJ90" s="135"/>
    </row>
    <row r="91" spans="2:36" x14ac:dyDescent="0.35">
      <c r="I91" s="109">
        <v>2.0236173564099999E-2</v>
      </c>
      <c r="J91" s="109">
        <v>1.1272783044890467E-9</v>
      </c>
      <c r="K91" s="109">
        <v>1.1195169827957019E-10</v>
      </c>
      <c r="L91" s="152">
        <v>1.2692884742229858E-9</v>
      </c>
      <c r="N91" s="18">
        <v>2.9183663411666309E-6</v>
      </c>
      <c r="O91" s="18">
        <v>4.0681302190590146E-11</v>
      </c>
      <c r="P91" s="18">
        <v>6.038692942470242E-9</v>
      </c>
      <c r="Q91" s="28">
        <v>0.52252270986663085</v>
      </c>
      <c r="R91" s="60">
        <v>225.24564890413603</v>
      </c>
      <c r="S91" s="57">
        <v>1.81419273873378E-6</v>
      </c>
      <c r="U91" s="127">
        <v>1.230123605365018E-9</v>
      </c>
      <c r="V91" s="127">
        <v>1.2692884742229858E-9</v>
      </c>
      <c r="W91" s="128">
        <v>1.2488767458781945E-9</v>
      </c>
      <c r="X91" s="128">
        <f t="shared" si="2"/>
        <v>1.2543943249222961E-9</v>
      </c>
      <c r="Y91" s="139">
        <f t="shared" si="3"/>
        <v>1.2892561272018044</v>
      </c>
      <c r="AA91" s="73"/>
      <c r="AB91" s="176"/>
      <c r="AC91" s="176"/>
      <c r="AD91" s="176"/>
      <c r="AJ91" s="135"/>
    </row>
    <row r="92" spans="2:36" x14ac:dyDescent="0.35">
      <c r="I92" s="109">
        <v>2.0438535299700002E-2</v>
      </c>
      <c r="J92" s="109">
        <v>1.3522013341999927E-9</v>
      </c>
      <c r="K92" s="109">
        <v>1.2196284693020985E-10</v>
      </c>
      <c r="L92" s="152">
        <v>1.2588312739249788E-9</v>
      </c>
      <c r="N92" s="18">
        <v>3.0275673693087792E-6</v>
      </c>
      <c r="O92" s="18">
        <v>3.4720300614873111E-11</v>
      </c>
      <c r="P92" s="18">
        <v>3.6978182249334949E-9</v>
      </c>
      <c r="Q92" s="28">
        <v>0.71317718802348939</v>
      </c>
      <c r="R92" s="60">
        <v>241.16690435956363</v>
      </c>
      <c r="S92" s="57">
        <v>1.81419273873378E-6</v>
      </c>
      <c r="U92" s="127">
        <v>1.2575960353441817E-9</v>
      </c>
      <c r="V92" s="127">
        <v>1.2588312739249788E-9</v>
      </c>
      <c r="W92" s="128">
        <v>1.2002240084732307E-9</v>
      </c>
      <c r="X92" s="128">
        <f t="shared" si="2"/>
        <v>1.2438706479168424E-9</v>
      </c>
      <c r="Y92" s="139">
        <f t="shared" si="3"/>
        <v>0.78894709636848781</v>
      </c>
      <c r="AA92" s="73"/>
      <c r="AB92" s="176"/>
      <c r="AC92" s="176"/>
      <c r="AD92" s="176"/>
      <c r="AJ92" s="135"/>
    </row>
    <row r="93" spans="2:36" x14ac:dyDescent="0.35">
      <c r="I93" s="109">
        <v>2.06429206527E-2</v>
      </c>
      <c r="J93" s="109">
        <v>1.2002110408482367E-9</v>
      </c>
      <c r="K93" s="109">
        <v>1.1542512997442116E-10</v>
      </c>
      <c r="L93" s="152">
        <v>1.2238598796813624E-9</v>
      </c>
      <c r="N93" s="18">
        <v>3.1240728746787833E-6</v>
      </c>
      <c r="O93" s="18">
        <v>2.9452314778447387E-11</v>
      </c>
      <c r="P93" s="18">
        <v>1.6290895557337576E-9</v>
      </c>
      <c r="Q93" s="28">
        <v>1.281588875373888</v>
      </c>
      <c r="R93" s="60">
        <v>241.16690435956363</v>
      </c>
      <c r="S93" s="57">
        <v>1.8065904041181873E-6</v>
      </c>
      <c r="U93" s="127">
        <v>1.2617385746761298E-9</v>
      </c>
      <c r="V93" s="127">
        <v>1.2238598796813624E-9</v>
      </c>
      <c r="W93" s="128">
        <v>1.1296399539221975E-9</v>
      </c>
      <c r="X93" s="128">
        <f t="shared" si="2"/>
        <v>1.2097745719902631E-9</v>
      </c>
      <c r="Y93" s="139">
        <f t="shared" si="3"/>
        <v>6.8649251804605476E-3</v>
      </c>
      <c r="AA93" s="73"/>
      <c r="AB93" s="176"/>
      <c r="AC93" s="176"/>
      <c r="AD93" s="176"/>
      <c r="AJ93" s="135"/>
    </row>
    <row r="94" spans="2:36" x14ac:dyDescent="0.35">
      <c r="I94" s="109">
        <v>2.0849349859299999E-2</v>
      </c>
      <c r="J94" s="109">
        <v>1.2275693508237068E-9</v>
      </c>
      <c r="K94" s="109">
        <v>1.180842542509209E-10</v>
      </c>
      <c r="L94" s="152">
        <v>1.165758993418689E-9</v>
      </c>
      <c r="N94" s="18">
        <v>3.1907825106873794E-6</v>
      </c>
      <c r="O94" s="18">
        <v>2.5810808355585536E-11</v>
      </c>
      <c r="P94" s="18">
        <v>1.990764596544104E-10</v>
      </c>
      <c r="Q94" s="28">
        <v>1.7210815880741237</v>
      </c>
      <c r="R94" s="60">
        <v>262.54800414116636</v>
      </c>
      <c r="S94" s="57">
        <v>1.8065904041181873E-6</v>
      </c>
      <c r="U94" s="127">
        <v>1.2415858384174431E-9</v>
      </c>
      <c r="V94" s="127">
        <v>1.165758993418689E-9</v>
      </c>
      <c r="W94" s="128">
        <v>1.0409456547800876E-9</v>
      </c>
      <c r="X94" s="128">
        <f t="shared" si="2"/>
        <v>1.1535123700087273E-9</v>
      </c>
      <c r="Y94" s="139">
        <f t="shared" si="3"/>
        <v>0.3933218043165243</v>
      </c>
      <c r="AA94" s="73"/>
      <c r="AB94" s="176"/>
      <c r="AC94" s="176"/>
      <c r="AD94" s="176"/>
      <c r="AJ94" s="135"/>
    </row>
    <row r="95" spans="2:36" x14ac:dyDescent="0.35">
      <c r="I95" s="109">
        <v>2.1057843357800001E-2</v>
      </c>
      <c r="J95" s="109">
        <v>1.2308664652676212E-9</v>
      </c>
      <c r="K95" s="109">
        <v>1.1977311521933357E-10</v>
      </c>
      <c r="L95" s="152">
        <v>1.0874242918721393E-9</v>
      </c>
      <c r="N95" s="18">
        <v>3.1999999999999999E-6</v>
      </c>
      <c r="O95" s="18">
        <v>2.5307649463664093E-11</v>
      </c>
      <c r="P95" s="18">
        <v>1.486857631694136E-12</v>
      </c>
      <c r="Q95" s="28">
        <v>10.297802784660814</v>
      </c>
      <c r="R95" s="60">
        <v>262.54800414116636</v>
      </c>
      <c r="S95" s="57">
        <v>1.8055399645975585E-6</v>
      </c>
      <c r="U95" s="127">
        <v>1.1975841609114491E-9</v>
      </c>
      <c r="V95" s="127">
        <v>1.0874242918721393E-9</v>
      </c>
      <c r="W95" s="128">
        <v>9.3932558653712386E-10</v>
      </c>
      <c r="X95" s="128">
        <f t="shared" si="2"/>
        <v>1.0779395827982129E-9</v>
      </c>
      <c r="Y95" s="139">
        <f t="shared" si="3"/>
        <v>1.6302303703701815</v>
      </c>
      <c r="AA95" s="73"/>
      <c r="AB95" s="176"/>
      <c r="AC95" s="176"/>
      <c r="AD95" s="176"/>
      <c r="AJ95" s="135"/>
    </row>
    <row r="96" spans="2:36" x14ac:dyDescent="0.35">
      <c r="I96" s="109">
        <v>2.12684217914E-2</v>
      </c>
      <c r="J96" s="109">
        <v>1.0475260438075324E-9</v>
      </c>
      <c r="K96" s="109">
        <v>1.1090432068216493E-10</v>
      </c>
      <c r="L96" s="152">
        <v>9.9317935110501701E-10</v>
      </c>
      <c r="N96" s="18">
        <v>3.1955797322917716E-6</v>
      </c>
      <c r="O96" s="18">
        <v>2.5394460155846639E-11</v>
      </c>
      <c r="P96" s="18">
        <v>1.4888560802367562E-12</v>
      </c>
      <c r="Q96" s="28">
        <v>1.7210815880741237</v>
      </c>
      <c r="R96" s="60">
        <v>1182.1780882944586</v>
      </c>
      <c r="S96" s="57">
        <v>1.8055399645975585E-6</v>
      </c>
      <c r="U96" s="127">
        <v>1.1316561676499126E-9</v>
      </c>
      <c r="V96" s="127">
        <v>9.9317935110501701E-10</v>
      </c>
      <c r="W96" s="128">
        <v>8.3107449967926133E-10</v>
      </c>
      <c r="X96" s="128">
        <f t="shared" si="2"/>
        <v>9.8727234238480195E-10</v>
      </c>
      <c r="Y96" s="139">
        <f t="shared" si="3"/>
        <v>0.29516885464987996</v>
      </c>
      <c r="AA96" s="73"/>
      <c r="AB96" s="176"/>
      <c r="AC96" s="176"/>
      <c r="AD96" s="176"/>
      <c r="AJ96" s="135"/>
    </row>
    <row r="97" spans="9:36" x14ac:dyDescent="0.35">
      <c r="I97" s="109">
        <v>2.1481106009300002E-2</v>
      </c>
      <c r="J97" s="109">
        <v>6.1843072503714054E-10</v>
      </c>
      <c r="K97" s="109">
        <v>8.9851470760297438E-11</v>
      </c>
      <c r="L97" s="152">
        <v>8.8859195450653233E-10</v>
      </c>
      <c r="N97" s="18">
        <v>3.1635889764714504E-6</v>
      </c>
      <c r="O97" s="18">
        <v>2.6022734242286083E-11</v>
      </c>
      <c r="P97" s="18">
        <v>1.5033194303246767E-12</v>
      </c>
      <c r="Q97" s="28">
        <v>1.281588875373888</v>
      </c>
      <c r="R97" s="60">
        <v>1182.1780882944586</v>
      </c>
      <c r="S97" s="57">
        <v>1.801777694838134E-6</v>
      </c>
      <c r="U97" s="127">
        <v>1.047180378110493E-9</v>
      </c>
      <c r="V97" s="127">
        <v>8.8859195450653233E-10</v>
      </c>
      <c r="W97" s="128">
        <v>7.2324459422773878E-10</v>
      </c>
      <c r="X97" s="128">
        <f t="shared" si="2"/>
        <v>8.8690222033782415E-10</v>
      </c>
      <c r="Y97" s="139">
        <f t="shared" si="3"/>
        <v>8.9278314513400066</v>
      </c>
      <c r="AA97" s="73"/>
      <c r="AB97" s="176"/>
      <c r="AC97" s="176"/>
      <c r="AD97" s="176"/>
      <c r="AJ97" s="135"/>
    </row>
    <row r="98" spans="9:36" x14ac:dyDescent="0.35">
      <c r="I98" s="109">
        <v>2.1695917069400002E-2</v>
      </c>
      <c r="J98" s="109">
        <v>7.995885407005058E-10</v>
      </c>
      <c r="K98" s="109">
        <v>1.0002288492726506E-10</v>
      </c>
      <c r="L98" s="152">
        <v>7.8019005344275692E-10</v>
      </c>
      <c r="N98" s="18">
        <v>3.1173095445583358E-6</v>
      </c>
      <c r="O98" s="18">
        <v>2.6931627047740807E-11</v>
      </c>
      <c r="P98" s="18">
        <v>1.5242428379924715E-12</v>
      </c>
      <c r="Q98" s="28">
        <v>0.71317718802348939</v>
      </c>
      <c r="R98" s="60">
        <v>1185.6202514706067</v>
      </c>
      <c r="S98" s="57">
        <v>1.801777694838134E-6</v>
      </c>
      <c r="U98" s="127">
        <v>9.4887676220095036E-10</v>
      </c>
      <c r="V98" s="127">
        <v>7.8019005344275692E-10</v>
      </c>
      <c r="W98" s="128">
        <v>6.2320694826116267E-10</v>
      </c>
      <c r="X98" s="128">
        <f t="shared" si="2"/>
        <v>7.8311595433690674E-10</v>
      </c>
      <c r="Y98" s="139">
        <f t="shared" si="3"/>
        <v>2.7122194941009758E-2</v>
      </c>
      <c r="AA98" s="73"/>
      <c r="AB98" s="176"/>
      <c r="AC98" s="176"/>
      <c r="AD98" s="176"/>
      <c r="AJ98" s="135"/>
    </row>
    <row r="99" spans="9:36" x14ac:dyDescent="0.35">
      <c r="I99" s="109">
        <v>2.19128762401E-2</v>
      </c>
      <c r="J99" s="109">
        <v>6.742615286985255E-10</v>
      </c>
      <c r="K99" s="109">
        <v>9.2492818307579569E-11</v>
      </c>
      <c r="L99" s="152">
        <v>6.7508541818289053E-10</v>
      </c>
      <c r="N99" s="18">
        <v>3.0649419461775965E-6</v>
      </c>
      <c r="O99" s="18">
        <v>2.7960086807068764E-11</v>
      </c>
      <c r="P99" s="18">
        <v>1.5479187684049419E-12</v>
      </c>
      <c r="Q99" s="28">
        <v>0.52252270986663085</v>
      </c>
      <c r="R99" s="60">
        <v>1185.6202514706067</v>
      </c>
      <c r="S99" s="57">
        <v>1.7745490604773958E-6</v>
      </c>
      <c r="U99" s="127">
        <v>8.4259429418279104E-10</v>
      </c>
      <c r="V99" s="127">
        <v>6.7508541818289053E-10</v>
      </c>
      <c r="W99" s="128">
        <v>5.3815035092820641E-10</v>
      </c>
      <c r="X99" s="128">
        <f t="shared" si="2"/>
        <v>6.827288703691946E-10</v>
      </c>
      <c r="Y99" s="139">
        <f t="shared" si="3"/>
        <v>8.3806584880336508E-3</v>
      </c>
      <c r="AA99" s="73"/>
      <c r="AB99" s="176"/>
      <c r="AC99" s="176"/>
      <c r="AD99" s="176"/>
      <c r="AJ99" s="135"/>
    </row>
    <row r="100" spans="9:36" x14ac:dyDescent="0.35">
      <c r="I100" s="109">
        <v>2.21320050025E-2</v>
      </c>
      <c r="J100" s="109">
        <v>4.3548374910017694E-10</v>
      </c>
      <c r="K100" s="109">
        <v>7.6945260642700641E-11</v>
      </c>
      <c r="L100" s="152">
        <v>5.8052162889100629E-10</v>
      </c>
      <c r="N100" s="18">
        <v>3.0096757915310445E-6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1188.1834292213546</v>
      </c>
      <c r="S100" s="57">
        <v>1.7745490604773958E-6</v>
      </c>
      <c r="U100" s="127">
        <v>7.3500314570443476E-10</v>
      </c>
      <c r="V100" s="127">
        <v>5.8052162889100629E-10</v>
      </c>
      <c r="W100" s="128">
        <v>4.7454929497953911E-10</v>
      </c>
      <c r="X100" s="128">
        <f t="shared" si="2"/>
        <v>5.9264892461649661E-10</v>
      </c>
      <c r="Y100" s="139">
        <f t="shared" si="3"/>
        <v>4.1720441298997359</v>
      </c>
      <c r="AA100" s="73"/>
      <c r="AB100" s="176"/>
      <c r="AC100" s="176"/>
      <c r="AD100" s="176"/>
      <c r="AJ100" s="135"/>
    </row>
    <row r="101" spans="9:36" x14ac:dyDescent="0.35">
      <c r="I101" s="109">
        <v>2.2353325052600001E-2</v>
      </c>
      <c r="J101" s="109">
        <v>5.1754752905429888E-10</v>
      </c>
      <c r="K101" s="109">
        <v>3.5442072715109178E-11</v>
      </c>
      <c r="L101" s="152">
        <v>5.0337172702349608E-10</v>
      </c>
      <c r="N101" s="18">
        <v>2.9529712588507015E-6</v>
      </c>
      <c r="O101" s="18">
        <v>3.015910585130201E-11</v>
      </c>
      <c r="P101" s="18">
        <v>1.5985418690121882E-12</v>
      </c>
      <c r="Q101" s="28">
        <v>0.36718140925644527</v>
      </c>
      <c r="R101" s="60">
        <v>1188.1834292213546</v>
      </c>
      <c r="S101" s="57">
        <v>1.7351587523189236E-6</v>
      </c>
      <c r="U101" s="127">
        <v>6.3320191241992234E-10</v>
      </c>
      <c r="V101" s="127">
        <v>5.0337172702349608E-10</v>
      </c>
      <c r="W101" s="128">
        <v>4.3763979065836587E-10</v>
      </c>
      <c r="X101" s="128">
        <f t="shared" si="2"/>
        <v>5.1939628928132005E-10</v>
      </c>
      <c r="Y101" s="139">
        <f t="shared" si="3"/>
        <v>2.7209649932507423E-3</v>
      </c>
      <c r="AA101" s="73"/>
      <c r="AB101" s="176"/>
      <c r="AC101" s="176"/>
      <c r="AD101" s="176"/>
      <c r="AJ101" s="135"/>
    </row>
    <row r="102" spans="9:36" x14ac:dyDescent="0.35">
      <c r="I102" s="109">
        <v>2.2576858303100002E-2</v>
      </c>
      <c r="J102" s="109">
        <v>4.1809110767660071E-10</v>
      </c>
      <c r="K102" s="109">
        <v>3.18525177718631E-11</v>
      </c>
      <c r="L102" s="152">
        <v>4.4961859778949631E-10</v>
      </c>
      <c r="N102" s="18">
        <v>2.8955562638433061E-6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1189.6097835974015</v>
      </c>
      <c r="S102" s="57">
        <v>1.7351587523189236E-6</v>
      </c>
      <c r="U102" s="127">
        <v>5.4425859540432297E-10</v>
      </c>
      <c r="V102" s="127">
        <v>4.4961859778949631E-10</v>
      </c>
      <c r="W102" s="128">
        <v>4.3094580954557416E-10</v>
      </c>
      <c r="X102" s="128">
        <f t="shared" si="2"/>
        <v>4.6861040013222246E-10</v>
      </c>
      <c r="Y102" s="139">
        <f t="shared" si="3"/>
        <v>2.5155154294236359</v>
      </c>
      <c r="AA102" s="73"/>
      <c r="AB102" s="176"/>
      <c r="AC102" s="176"/>
      <c r="AD102" s="176"/>
      <c r="AJ102" s="135"/>
    </row>
    <row r="103" spans="9:36" x14ac:dyDescent="0.35">
      <c r="I103" s="109">
        <v>2.2802626886099998E-2</v>
      </c>
      <c r="J103" s="109">
        <v>4.3233092633042771E-10</v>
      </c>
      <c r="K103" s="109">
        <v>3.130160825186285E-11</v>
      </c>
      <c r="L103" s="152">
        <v>4.2385695223421694E-10</v>
      </c>
      <c r="N103" s="18">
        <v>2.8378067889455338E-6</v>
      </c>
      <c r="O103" s="18">
        <v>3.242084835361548E-11</v>
      </c>
      <c r="P103" s="18">
        <v>1.6506089116067295E-12</v>
      </c>
      <c r="Q103" s="28">
        <v>0.30511585966628851</v>
      </c>
      <c r="R103" s="60">
        <v>1189.6097835974015</v>
      </c>
      <c r="S103" s="57">
        <v>1.6905865578803855E-6</v>
      </c>
      <c r="U103" s="127">
        <v>4.7471215836569595E-10</v>
      </c>
      <c r="V103" s="127">
        <v>4.2385695223421694E-10</v>
      </c>
      <c r="W103" s="128">
        <v>4.5589972776449449E-10</v>
      </c>
      <c r="X103" s="128">
        <f t="shared" si="2"/>
        <v>4.4458144764965607E-10</v>
      </c>
      <c r="Y103" s="139">
        <f t="shared" si="3"/>
        <v>0.15317074941209941</v>
      </c>
      <c r="AA103" s="73"/>
      <c r="AB103" s="176"/>
      <c r="AC103" s="176"/>
      <c r="AD103" s="176"/>
      <c r="AJ103" s="135"/>
    </row>
    <row r="104" spans="9:36" x14ac:dyDescent="0.35">
      <c r="I104" s="109">
        <v>2.3030653155000001E-2</v>
      </c>
      <c r="J104" s="109">
        <v>4.0877194957707592E-10</v>
      </c>
      <c r="K104" s="109">
        <v>2.8705122494222533E-11</v>
      </c>
      <c r="L104" s="152">
        <v>4.2885869434475879E-10</v>
      </c>
      <c r="N104" s="18">
        <v>2.7799155094049263E-6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1190.6548290171347</v>
      </c>
      <c r="S104" s="57">
        <v>1.6905865578803855E-6</v>
      </c>
      <c r="U104" s="127">
        <v>4.3006842070754076E-10</v>
      </c>
      <c r="V104" s="127">
        <v>4.2885869434475879E-10</v>
      </c>
      <c r="W104" s="128">
        <v>5.1159666731023336E-10</v>
      </c>
      <c r="X104" s="128">
        <f t="shared" si="2"/>
        <v>4.4984561917682292E-10</v>
      </c>
      <c r="Y104" s="139">
        <f t="shared" si="3"/>
        <v>2.0474259413409683</v>
      </c>
      <c r="AA104" s="73"/>
      <c r="AB104" s="176"/>
      <c r="AC104" s="176"/>
      <c r="AD104" s="176"/>
      <c r="AJ104" s="135"/>
    </row>
    <row r="105" spans="9:36" x14ac:dyDescent="0.35">
      <c r="I105" s="109">
        <v>2.32609596865E-2</v>
      </c>
      <c r="J105" s="109">
        <v>5.1490859527470315E-10</v>
      </c>
      <c r="K105" s="109">
        <v>3.4062812444648739E-11</v>
      </c>
      <c r="L105" s="152">
        <v>4.6524281655955838E-10</v>
      </c>
      <c r="N105" s="18">
        <v>2.7219751092359035E-6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1190.6548290171347</v>
      </c>
      <c r="S105" s="57">
        <v>1.6435472842274919E-6</v>
      </c>
      <c r="U105" s="127">
        <v>4.1432887032495908E-10</v>
      </c>
      <c r="V105" s="127">
        <v>4.6524281655955838E-10</v>
      </c>
      <c r="W105" s="128">
        <v>5.9471514497851592E-10</v>
      </c>
      <c r="X105" s="128">
        <f t="shared" si="2"/>
        <v>4.8488241210564798E-10</v>
      </c>
      <c r="Y105" s="139">
        <f t="shared" si="3"/>
        <v>0.77703262312094168</v>
      </c>
      <c r="AA105" s="73"/>
      <c r="AB105" s="176"/>
      <c r="AC105" s="176"/>
      <c r="AD105" s="176"/>
      <c r="AJ105" s="135"/>
    </row>
    <row r="106" spans="9:36" x14ac:dyDescent="0.35">
      <c r="I106" s="109">
        <v>2.34935692834E-2</v>
      </c>
      <c r="J106" s="109">
        <v>5.6932184427962195E-10</v>
      </c>
      <c r="K106" s="109">
        <v>3.6167411885303002E-11</v>
      </c>
      <c r="L106" s="152">
        <v>5.3128647287894445E-10</v>
      </c>
      <c r="N106" s="18">
        <v>2.6640233742936279E-6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1191.5052726731719</v>
      </c>
      <c r="S106" s="57">
        <v>1.6435472842274919E-6</v>
      </c>
      <c r="U106" s="127">
        <v>4.2959287909467199E-10</v>
      </c>
      <c r="V106" s="127">
        <v>5.3128647287894445E-10</v>
      </c>
      <c r="W106" s="128">
        <v>6.9962540139203772E-10</v>
      </c>
      <c r="X106" s="128">
        <f t="shared" si="2"/>
        <v>5.4794780656114965E-10</v>
      </c>
      <c r="Y106" s="139">
        <f t="shared" si="3"/>
        <v>0.34925149897682911</v>
      </c>
      <c r="AA106" s="73"/>
      <c r="AB106" s="176"/>
      <c r="AC106" s="176"/>
      <c r="AD106" s="176"/>
      <c r="AJ106" s="135"/>
    </row>
    <row r="107" spans="9:36" x14ac:dyDescent="0.35">
      <c r="I107" s="109">
        <v>2.37285049762E-2</v>
      </c>
      <c r="J107" s="109">
        <v>6.7341070373760337E-10</v>
      </c>
      <c r="K107" s="109">
        <v>3.9827775490496527E-11</v>
      </c>
      <c r="L107" s="152">
        <v>6.2290565584799987E-10</v>
      </c>
      <c r="N107" s="18">
        <v>2.6060703763248736E-6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1191.5052726731719</v>
      </c>
      <c r="S107" s="57">
        <v>1.5952837484854315E-6</v>
      </c>
      <c r="U107" s="127">
        <v>4.7577222728422864E-10</v>
      </c>
      <c r="V107" s="127">
        <v>6.2290565584799987E-10</v>
      </c>
      <c r="W107" s="128">
        <v>8.1869302294440089E-10</v>
      </c>
      <c r="X107" s="128">
        <f t="shared" si="2"/>
        <v>6.3506914048115737E-10</v>
      </c>
      <c r="Y107" s="139">
        <f t="shared" si="3"/>
        <v>0.92676053394605695</v>
      </c>
      <c r="AA107" s="73"/>
      <c r="AB107" s="176"/>
      <c r="AC107" s="176"/>
      <c r="AD107" s="176"/>
      <c r="AJ107" s="135"/>
    </row>
    <row r="108" spans="9:36" x14ac:dyDescent="0.35">
      <c r="I108" s="109">
        <v>2.3965790026000001E-2</v>
      </c>
      <c r="J108" s="109">
        <v>8.2696172191239817E-10</v>
      </c>
      <c r="K108" s="109">
        <v>4.4955568540314932E-11</v>
      </c>
      <c r="L108" s="152">
        <v>7.338224783140369E-10</v>
      </c>
      <c r="N108" s="18">
        <v>2.548118641382598E-6</v>
      </c>
      <c r="O108" s="18">
        <v>3.8110103002198277E-11</v>
      </c>
      <c r="P108" s="18">
        <v>1.781579905791945E-12</v>
      </c>
      <c r="Q108" s="28">
        <v>0.27901782563242211</v>
      </c>
      <c r="R108" s="60">
        <v>1192.2396354916848</v>
      </c>
      <c r="S108" s="57">
        <v>1.5952837484854315E-6</v>
      </c>
      <c r="U108" s="127">
        <v>5.5045160112453838E-10</v>
      </c>
      <c r="V108" s="127">
        <v>7.338224783140369E-10</v>
      </c>
      <c r="W108" s="128">
        <v>9.4277003663530742E-10</v>
      </c>
      <c r="X108" s="128">
        <f t="shared" si="2"/>
        <v>7.402166485969799E-10</v>
      </c>
      <c r="Y108" s="139">
        <f t="shared" si="3"/>
        <v>3.7232538560705293</v>
      </c>
      <c r="AA108" s="73"/>
      <c r="AB108" s="176"/>
      <c r="AC108" s="176"/>
      <c r="AD108" s="176"/>
      <c r="AJ108" s="135"/>
    </row>
    <row r="109" spans="9:36" x14ac:dyDescent="0.35">
      <c r="I109" s="109">
        <v>2.42054479262E-2</v>
      </c>
      <c r="J109" s="109">
        <v>9.3699490629379973E-10</v>
      </c>
      <c r="K109" s="109">
        <v>4.8910403172762599E-11</v>
      </c>
      <c r="L109" s="152">
        <v>8.5592225539755778E-10</v>
      </c>
      <c r="N109" s="18">
        <v>2.4901782412135752E-6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1192.2396354916848</v>
      </c>
      <c r="S109" s="57">
        <v>1.5464155093397049E-6</v>
      </c>
      <c r="U109" s="127">
        <v>6.4892002089787214E-10</v>
      </c>
      <c r="V109" s="127">
        <v>8.5592225539755778E-10</v>
      </c>
      <c r="W109" s="128">
        <v>1.0618496547244744E-9</v>
      </c>
      <c r="X109" s="128">
        <f t="shared" si="2"/>
        <v>8.5565354660436561E-10</v>
      </c>
      <c r="Y109" s="139">
        <f t="shared" si="3"/>
        <v>2.7657974375686822</v>
      </c>
      <c r="AA109" s="73"/>
      <c r="AB109" s="176"/>
      <c r="AC109" s="176"/>
      <c r="AD109" s="176"/>
      <c r="AJ109" s="135"/>
    </row>
    <row r="110" spans="9:36" x14ac:dyDescent="0.35">
      <c r="I110" s="109">
        <v>2.4447502405500001E-2</v>
      </c>
      <c r="J110" s="109">
        <v>1.0965069719206525E-9</v>
      </c>
      <c r="K110" s="109">
        <v>5.6940720222411975E-11</v>
      </c>
      <c r="L110" s="152">
        <v>9.797883960011805E-10</v>
      </c>
      <c r="N110" s="18">
        <v>2.4322869616729677E-6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1192.8993451910599</v>
      </c>
      <c r="S110" s="57">
        <v>1.5464155093397049E-6</v>
      </c>
      <c r="U110" s="127">
        <v>7.6438653278009069E-10</v>
      </c>
      <c r="V110" s="127">
        <v>9.797883960011805E-10</v>
      </c>
      <c r="W110" s="128">
        <v>1.1658453448327578E-9</v>
      </c>
      <c r="X110" s="128">
        <f t="shared" si="2"/>
        <v>9.7245216740380249E-10</v>
      </c>
      <c r="Y110" s="139">
        <f t="shared" si="3"/>
        <v>4.7465850308832405</v>
      </c>
      <c r="AA110" s="73"/>
      <c r="AB110" s="176"/>
      <c r="AC110" s="176"/>
      <c r="AD110" s="176"/>
      <c r="AJ110" s="135"/>
    </row>
    <row r="111" spans="9:36" x14ac:dyDescent="0.35">
      <c r="I111" s="109">
        <v>2.4691977429599998E-2</v>
      </c>
      <c r="J111" s="109">
        <v>1.1617660648144991E-9</v>
      </c>
      <c r="K111" s="109">
        <v>6.0145397709818178E-11</v>
      </c>
      <c r="L111" s="152">
        <v>1.0953875811356448E-9</v>
      </c>
      <c r="N111" s="18">
        <v>2.3745374867751954E-6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1192.8993451910599</v>
      </c>
      <c r="S111" s="57">
        <v>1.497262580745338E-6</v>
      </c>
      <c r="U111" s="127">
        <v>8.8837975807494036E-10</v>
      </c>
      <c r="V111" s="127">
        <v>1.0953875811356448E-9</v>
      </c>
      <c r="W111" s="128">
        <v>1.2454408751080561E-9</v>
      </c>
      <c r="X111" s="128">
        <f t="shared" si="2"/>
        <v>1.0811489488635715E-9</v>
      </c>
      <c r="Y111" s="139">
        <f t="shared" si="3"/>
        <v>1.796593039381317</v>
      </c>
      <c r="AA111" s="73"/>
      <c r="AB111" s="176"/>
      <c r="AC111" s="176"/>
      <c r="AD111" s="176"/>
      <c r="AJ111" s="135"/>
    </row>
    <row r="112" spans="9:36" x14ac:dyDescent="0.35">
      <c r="I112" s="109">
        <v>2.4938897203899999E-2</v>
      </c>
      <c r="J112" s="109">
        <v>1.2759664274603356E-9</v>
      </c>
      <c r="K112" s="109">
        <v>6.4087865623614718E-11</v>
      </c>
      <c r="L112" s="152">
        <v>1.1928628448687658E-9</v>
      </c>
      <c r="N112" s="18">
        <v>2.3171224917678E-6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1193.5095769103925</v>
      </c>
      <c r="S112" s="57">
        <v>1.497262580745338E-6</v>
      </c>
      <c r="U112" s="127">
        <v>1.0113159896619138E-9</v>
      </c>
      <c r="V112" s="127">
        <v>1.1928628448687658E-9</v>
      </c>
      <c r="W112" s="128">
        <v>1.2929463847500369E-9</v>
      </c>
      <c r="X112" s="128">
        <f t="shared" si="2"/>
        <v>1.1724970160373706E-9</v>
      </c>
      <c r="Y112" s="139">
        <f t="shared" si="3"/>
        <v>2.6065876968633184</v>
      </c>
      <c r="AA112" s="73"/>
      <c r="AB112" s="176"/>
      <c r="AC112" s="176"/>
      <c r="AD112" s="176"/>
      <c r="AJ112" s="135"/>
    </row>
    <row r="113" spans="9:36" x14ac:dyDescent="0.35">
      <c r="I113" s="109">
        <v>2.51882861759E-2</v>
      </c>
      <c r="J113" s="109">
        <v>1.3509589497081377E-9</v>
      </c>
      <c r="K113" s="109">
        <v>6.5377030743132176E-11</v>
      </c>
      <c r="L113" s="152">
        <v>1.2633789358266991E-9</v>
      </c>
      <c r="N113" s="18">
        <v>2.260417959087457E-6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1193.5095769103925</v>
      </c>
      <c r="S113" s="57">
        <v>1.4479889564477464E-6</v>
      </c>
      <c r="U113" s="127">
        <v>1.1232054384123394E-9</v>
      </c>
      <c r="V113" s="127">
        <v>1.2633789358266991E-9</v>
      </c>
      <c r="W113" s="128">
        <v>1.3030873371094023E-9</v>
      </c>
      <c r="X113" s="128">
        <f t="shared" si="2"/>
        <v>1.2382626617937851E-9</v>
      </c>
      <c r="Y113" s="139">
        <f t="shared" si="3"/>
        <v>2.9714528125685651</v>
      </c>
      <c r="AA113" s="73"/>
      <c r="AB113" s="176"/>
      <c r="AC113" s="176"/>
      <c r="AD113" s="176"/>
      <c r="AJ113" s="135"/>
    </row>
    <row r="114" spans="9:36" x14ac:dyDescent="0.35">
      <c r="I114" s="109">
        <v>2.5440169037600002E-2</v>
      </c>
      <c r="J114" s="109">
        <v>1.3487073891290408E-9</v>
      </c>
      <c r="K114" s="109">
        <v>6.6207546059726875E-11</v>
      </c>
      <c r="L114" s="152">
        <v>1.2999536944394529E-9</v>
      </c>
      <c r="N114" s="18">
        <v>2.205151804440905E-6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1194.087367876132</v>
      </c>
      <c r="S114" s="57">
        <v>1.4479889564477464E-6</v>
      </c>
      <c r="U114" s="127">
        <v>1.2144519400509848E-9</v>
      </c>
      <c r="V114" s="127">
        <v>1.2999536944394529E-9</v>
      </c>
      <c r="W114" s="128">
        <v>1.2736495537965912E-9</v>
      </c>
      <c r="X114" s="128">
        <f t="shared" si="2"/>
        <v>1.2720022206816205E-9</v>
      </c>
      <c r="Y114" s="139">
        <f t="shared" si="3"/>
        <v>1.3422526601057401</v>
      </c>
      <c r="AA114" s="73"/>
      <c r="AB114" s="176"/>
      <c r="AC114" s="176"/>
      <c r="AD114" s="176"/>
      <c r="AJ114" s="135"/>
    </row>
    <row r="115" spans="9:36" x14ac:dyDescent="0.35">
      <c r="I115" s="109">
        <v>2.5694570728E-2</v>
      </c>
      <c r="J115" s="109">
        <v>1.2312959479869859E-9</v>
      </c>
      <c r="K115" s="109">
        <v>6.1836943016136603E-11</v>
      </c>
      <c r="L115" s="152">
        <v>1.298202173012651E-9</v>
      </c>
      <c r="N115" s="18">
        <v>2.1527842060601656E-6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1194.087367876132</v>
      </c>
      <c r="S115" s="57">
        <v>1.3986735235840113E-6</v>
      </c>
      <c r="U115" s="127">
        <v>1.2766888931352291E-9</v>
      </c>
      <c r="V115" s="127">
        <v>1.298202173012651E-9</v>
      </c>
      <c r="W115" s="128">
        <v>1.2059056619479582E-9</v>
      </c>
      <c r="X115" s="128">
        <f t="shared" si="2"/>
        <v>1.2697497252771223E-9</v>
      </c>
      <c r="Y115" s="139">
        <f t="shared" si="3"/>
        <v>0.38670696146024919</v>
      </c>
      <c r="AA115" s="73"/>
      <c r="AB115" s="176"/>
      <c r="AC115" s="176"/>
      <c r="AD115" s="176"/>
      <c r="AJ115" s="135"/>
    </row>
    <row r="116" spans="9:36" x14ac:dyDescent="0.35">
      <c r="I116" s="109">
        <v>2.5951516435299998E-2</v>
      </c>
      <c r="J116" s="109">
        <v>1.2294514401062267E-9</v>
      </c>
      <c r="K116" s="109">
        <v>6.2329225052462255E-11</v>
      </c>
      <c r="L116" s="152">
        <v>1.2569180253665724E-9</v>
      </c>
      <c r="N116" s="18">
        <v>2.1065047741470511E-6</v>
      </c>
      <c r="O116" s="18">
        <v>4.6783063108384949E-11</v>
      </c>
      <c r="P116" s="18">
        <v>1.9812380820908275E-12</v>
      </c>
      <c r="Q116" s="28">
        <v>1.281588875373888</v>
      </c>
      <c r="R116" s="60">
        <v>1194.6454035273969</v>
      </c>
      <c r="S116" s="57">
        <v>1.3986735235840113E-6</v>
      </c>
      <c r="U116" s="127">
        <v>1.3035844064473839E-9</v>
      </c>
      <c r="V116" s="127">
        <v>1.2569180253665724E-9</v>
      </c>
      <c r="W116" s="128">
        <v>1.1047574973637217E-9</v>
      </c>
      <c r="X116" s="128">
        <f t="shared" si="2"/>
        <v>1.2305444886360626E-9</v>
      </c>
      <c r="Y116" s="139">
        <f t="shared" si="3"/>
        <v>3.0753562679000933E-4</v>
      </c>
      <c r="AA116" s="73"/>
      <c r="AB116" s="176"/>
      <c r="AC116" s="176"/>
      <c r="AD116" s="176"/>
      <c r="AJ116" s="135"/>
    </row>
    <row r="117" spans="9:36" x14ac:dyDescent="0.35">
      <c r="I117" s="109">
        <v>2.6211031599700001E-2</v>
      </c>
      <c r="J117" s="109">
        <v>1.2372312835485116E-9</v>
      </c>
      <c r="K117" s="109">
        <v>6.5061048980936716E-11</v>
      </c>
      <c r="L117" s="152">
        <v>1.1784205690085328E-9</v>
      </c>
      <c r="N117" s="18">
        <v>2.0745140183267299E-6</v>
      </c>
      <c r="O117" s="18">
        <v>4.7411337194824393E-11</v>
      </c>
      <c r="P117" s="18">
        <v>1.995701432178748E-12</v>
      </c>
      <c r="Q117" s="28">
        <v>1.7210815880741237</v>
      </c>
      <c r="R117" s="60">
        <v>1194.6454035273969</v>
      </c>
      <c r="S117" s="57">
        <v>1.349348443233415E-6</v>
      </c>
      <c r="U117" s="127">
        <v>1.2915426784158373E-9</v>
      </c>
      <c r="V117" s="127">
        <v>1.1784205690085328E-9</v>
      </c>
      <c r="W117" s="128">
        <v>9.7854631958054523E-10</v>
      </c>
      <c r="X117" s="128">
        <f t="shared" si="2"/>
        <v>1.1567325340033622E-9</v>
      </c>
      <c r="Y117" s="139">
        <f t="shared" si="3"/>
        <v>1.5308623636683802</v>
      </c>
      <c r="AA117" s="73"/>
      <c r="AB117" s="176"/>
      <c r="AC117" s="176"/>
      <c r="AD117" s="176"/>
      <c r="AJ117" s="135"/>
    </row>
    <row r="118" spans="9:36" x14ac:dyDescent="0.35">
      <c r="I118" s="109">
        <v>2.6473141915700001E-2</v>
      </c>
      <c r="J118" s="109">
        <v>1.0412815161221792E-9</v>
      </c>
      <c r="K118" s="109">
        <v>5.7513829735169963E-11</v>
      </c>
      <c r="L118" s="152">
        <v>1.0686070779809041E-9</v>
      </c>
      <c r="N118" s="18">
        <v>2.0700937506185016E-6</v>
      </c>
      <c r="O118" s="18">
        <v>4.7498147887006942E-11</v>
      </c>
      <c r="P118" s="18">
        <v>1.9976998807213682E-12</v>
      </c>
      <c r="Q118" s="28">
        <v>100</v>
      </c>
      <c r="R118" s="60">
        <v>1195.1940651248556</v>
      </c>
      <c r="S118" s="57">
        <v>1.349348443233415E-6</v>
      </c>
      <c r="U118" s="127">
        <v>1.2402277144697043E-9</v>
      </c>
      <c r="V118" s="127">
        <v>1.0686070779809041E-9</v>
      </c>
      <c r="W118" s="128">
        <v>8.3850847076822749E-10</v>
      </c>
      <c r="X118" s="128">
        <f t="shared" si="2"/>
        <v>1.053987585299935E-9</v>
      </c>
      <c r="Y118" s="139">
        <f t="shared" si="3"/>
        <v>4.880652151814828E-2</v>
      </c>
      <c r="AA118" s="73"/>
      <c r="AB118" s="176"/>
      <c r="AC118" s="176"/>
      <c r="AD118" s="176"/>
      <c r="AJ118" s="135"/>
    </row>
    <row r="119" spans="9:36" x14ac:dyDescent="0.35">
      <c r="I119" s="109">
        <v>2.6737873334799999E-2</v>
      </c>
      <c r="J119" s="109">
        <v>7.9422387480316076E-10</v>
      </c>
      <c r="K119" s="109">
        <v>5.1316089250112625E-11</v>
      </c>
      <c r="L119" s="152">
        <v>9.3666912966811723E-10</v>
      </c>
      <c r="R119" s="60">
        <v>1195.1940651248556</v>
      </c>
      <c r="S119" s="57">
        <v>1.3144243690258422E-6</v>
      </c>
      <c r="U119" s="127">
        <v>1.1528408618332E-9</v>
      </c>
      <c r="V119" s="127">
        <v>9.3666912966811723E-10</v>
      </c>
      <c r="W119" s="128">
        <v>6.978875759931054E-10</v>
      </c>
      <c r="X119" s="128">
        <f t="shared" si="2"/>
        <v>9.3101667429063506E-10</v>
      </c>
      <c r="Y119" s="139">
        <f t="shared" si="3"/>
        <v>7.1059045822227711</v>
      </c>
      <c r="AA119" s="73"/>
      <c r="AB119" s="176"/>
      <c r="AC119" s="176"/>
      <c r="AD119" s="176"/>
      <c r="AJ119" s="135"/>
    </row>
    <row r="120" spans="9:36" x14ac:dyDescent="0.35">
      <c r="I120" s="109">
        <v>2.7005252068200002E-2</v>
      </c>
      <c r="J120" s="109">
        <v>6.8264725744409505E-10</v>
      </c>
      <c r="K120" s="109">
        <v>5.0084435393787187E-11</v>
      </c>
      <c r="L120" s="152">
        <v>7.9445925674937104E-10</v>
      </c>
      <c r="R120" s="60">
        <v>1195.4213378521283</v>
      </c>
      <c r="S120" s="57">
        <v>1.3144243690258422E-6</v>
      </c>
      <c r="U120" s="127">
        <v>1.0360964058486782E-9</v>
      </c>
      <c r="V120" s="127">
        <v>7.9445925674937104E-10</v>
      </c>
      <c r="W120" s="128">
        <v>5.7075327117807322E-10</v>
      </c>
      <c r="X120" s="128">
        <f t="shared" si="2"/>
        <v>7.9894204763137345E-10</v>
      </c>
      <c r="Y120" s="139">
        <f t="shared" si="3"/>
        <v>5.391566353439301</v>
      </c>
      <c r="AA120" s="73"/>
      <c r="AB120" s="176"/>
      <c r="AC120" s="176"/>
      <c r="AD120" s="176"/>
      <c r="AJ120" s="135"/>
    </row>
    <row r="121" spans="9:36" x14ac:dyDescent="0.35">
      <c r="I121" s="109">
        <v>2.7275304588799999E-2</v>
      </c>
      <c r="J121" s="109">
        <v>6.5788956958982351E-10</v>
      </c>
      <c r="K121" s="109">
        <v>4.9596477678292022E-11</v>
      </c>
      <c r="L121" s="152">
        <v>6.5552860218613484E-10</v>
      </c>
      <c r="R121" s="60">
        <v>1195.4213378521283</v>
      </c>
      <c r="S121" s="57">
        <v>1.2837078560417024E-6</v>
      </c>
      <c r="U121" s="127">
        <v>8.9986026708287333E-10</v>
      </c>
      <c r="V121" s="127">
        <v>6.5552860218613484E-10</v>
      </c>
      <c r="W121" s="128">
        <v>4.7061686708359741E-10</v>
      </c>
      <c r="X121" s="128">
        <f t="shared" si="2"/>
        <v>6.7038358463468505E-10</v>
      </c>
      <c r="Y121" s="139">
        <f t="shared" si="3"/>
        <v>6.3460337987902501E-2</v>
      </c>
      <c r="AA121" s="73"/>
      <c r="AB121" s="176"/>
      <c r="AC121" s="176"/>
      <c r="AD121" s="176"/>
      <c r="AJ121" s="135"/>
    </row>
    <row r="122" spans="9:36" x14ac:dyDescent="0.35">
      <c r="I122" s="109">
        <v>2.7548057634700002E-2</v>
      </c>
      <c r="J122" s="109">
        <v>4.992035513567499E-10</v>
      </c>
      <c r="K122" s="109">
        <v>4.2178281316631904E-11</v>
      </c>
      <c r="L122" s="152">
        <v>5.3389510752580996E-10</v>
      </c>
      <c r="R122" s="60">
        <v>1195.8758833066738</v>
      </c>
      <c r="S122" s="57">
        <v>1.2837078560417024E-6</v>
      </c>
      <c r="U122" s="127">
        <v>7.5644544335435497E-10</v>
      </c>
      <c r="V122" s="127">
        <v>5.3389510752580996E-10</v>
      </c>
      <c r="W122" s="128">
        <v>4.0897106450162794E-10</v>
      </c>
      <c r="X122" s="128">
        <f t="shared" si="2"/>
        <v>5.5830168072690075E-10</v>
      </c>
      <c r="Y122" s="139">
        <f t="shared" si="3"/>
        <v>1.9632233491251456</v>
      </c>
      <c r="AA122" s="73"/>
      <c r="AB122" s="176"/>
      <c r="AC122" s="176"/>
      <c r="AD122" s="176"/>
      <c r="AJ122" s="135"/>
    </row>
    <row r="123" spans="9:36" x14ac:dyDescent="0.35">
      <c r="I123" s="109">
        <v>2.78235382111E-2</v>
      </c>
      <c r="J123" s="109">
        <v>4.5855931893610003E-10</v>
      </c>
      <c r="K123" s="109">
        <v>4.3146868382407803E-11</v>
      </c>
      <c r="L123" s="152">
        <v>4.4264085091798865E-10</v>
      </c>
      <c r="R123" s="60">
        <v>1195.8758833066738</v>
      </c>
      <c r="S123" s="57">
        <v>1.243202396713137E-6</v>
      </c>
      <c r="U123" s="127">
        <v>6.1959281613641863E-10</v>
      </c>
      <c r="V123" s="127">
        <v>4.4264085091798865E-10</v>
      </c>
      <c r="W123" s="128">
        <v>3.9390790655226068E-10</v>
      </c>
      <c r="X123" s="128">
        <f t="shared" si="2"/>
        <v>4.746956061311641E-10</v>
      </c>
      <c r="Y123" s="139">
        <f t="shared" si="3"/>
        <v>0.139864877703404</v>
      </c>
      <c r="AA123" s="73"/>
      <c r="AB123" s="176"/>
      <c r="AC123" s="176"/>
      <c r="AD123" s="176"/>
      <c r="AJ123" s="135"/>
    </row>
    <row r="124" spans="9:36" x14ac:dyDescent="0.35">
      <c r="I124" s="109">
        <v>2.81017735932E-2</v>
      </c>
      <c r="J124" s="109">
        <v>4.4388308449051011E-10</v>
      </c>
      <c r="K124" s="109">
        <v>4.2040438415608076E-11</v>
      </c>
      <c r="L124" s="152">
        <v>3.9247118194881573E-10</v>
      </c>
      <c r="R124" s="60">
        <v>1196.3304287612193</v>
      </c>
      <c r="S124" s="57">
        <v>1.243202396713137E-6</v>
      </c>
      <c r="U124" s="127">
        <v>5.0320438192153751E-10</v>
      </c>
      <c r="V124" s="127">
        <v>3.9247118194881573E-10</v>
      </c>
      <c r="W124" s="128">
        <v>4.2898098128074269E-10</v>
      </c>
      <c r="X124" s="128">
        <f t="shared" si="2"/>
        <v>4.2928193177497792E-10</v>
      </c>
      <c r="Y124" s="139">
        <f t="shared" si="3"/>
        <v>0.12062569091507926</v>
      </c>
      <c r="AA124" s="73"/>
      <c r="AB124" s="176"/>
      <c r="AC124" s="176"/>
      <c r="AD124" s="176"/>
      <c r="AJ124" s="135"/>
    </row>
    <row r="125" spans="9:36" x14ac:dyDescent="0.35">
      <c r="I125" s="109">
        <v>2.8382791329100002E-2</v>
      </c>
      <c r="J125" s="109">
        <v>4.5507044111067315E-10</v>
      </c>
      <c r="K125" s="109">
        <v>4.4196614104110112E-11</v>
      </c>
      <c r="L125" s="152">
        <v>3.9039156422623703E-10</v>
      </c>
      <c r="R125" s="60">
        <v>1196.3304287612193</v>
      </c>
      <c r="S125" s="57">
        <v>1.2036342633214978E-6</v>
      </c>
      <c r="U125" s="127">
        <v>4.1993360193407005E-10</v>
      </c>
      <c r="V125" s="127">
        <v>3.9039156422623703E-10</v>
      </c>
      <c r="W125" s="128">
        <v>5.1247033718624046E-10</v>
      </c>
      <c r="X125" s="128">
        <f t="shared" si="2"/>
        <v>4.282967668931961E-10</v>
      </c>
      <c r="Y125" s="139">
        <f t="shared" si="3"/>
        <v>0.36697624318140482</v>
      </c>
      <c r="AA125" s="73"/>
      <c r="AB125" s="176"/>
      <c r="AC125" s="176"/>
      <c r="AD125" s="176"/>
      <c r="AJ125" s="135"/>
    </row>
    <row r="126" spans="9:36" x14ac:dyDescent="0.35">
      <c r="I126" s="109">
        <v>2.86666192424E-2</v>
      </c>
      <c r="J126" s="109">
        <v>5.3662469294328859E-10</v>
      </c>
      <c r="K126" s="109">
        <v>4.6708135708669537E-11</v>
      </c>
      <c r="L126" s="152">
        <v>4.3866536864366032E-10</v>
      </c>
      <c r="R126" s="60">
        <v>1196.7849742157648</v>
      </c>
      <c r="S126" s="57">
        <v>1.2036342633214978E-6</v>
      </c>
      <c r="U126" s="127">
        <v>3.7976911705151887E-10</v>
      </c>
      <c r="V126" s="127">
        <v>4.3866536864366032E-10</v>
      </c>
      <c r="W126" s="128">
        <v>6.3717988680898896E-10</v>
      </c>
      <c r="X126" s="128">
        <f t="shared" si="2"/>
        <v>4.7356993528695709E-10</v>
      </c>
      <c r="Y126" s="139">
        <f t="shared" si="3"/>
        <v>1.8224291567989468</v>
      </c>
      <c r="AA126" s="73"/>
      <c r="AB126" s="176"/>
      <c r="AC126" s="176"/>
      <c r="AD126" s="176"/>
      <c r="AJ126" s="135"/>
    </row>
    <row r="127" spans="9:36" x14ac:dyDescent="0.35">
      <c r="I127" s="109">
        <v>2.89532854348E-2</v>
      </c>
      <c r="J127" s="109">
        <v>6.6404233909210382E-10</v>
      </c>
      <c r="K127" s="109">
        <v>5.376586131648983E-11</v>
      </c>
      <c r="L127" s="152">
        <v>5.3420371523602459E-10</v>
      </c>
      <c r="R127" s="60">
        <v>1196.7849742157648</v>
      </c>
      <c r="S127" s="57">
        <v>1.1654498622510918E-6</v>
      </c>
      <c r="U127" s="127">
        <v>3.8876805892010634E-10</v>
      </c>
      <c r="V127" s="127">
        <v>5.3420371523602459E-10</v>
      </c>
      <c r="W127" s="128">
        <v>7.9084840639584293E-10</v>
      </c>
      <c r="X127" s="128">
        <f t="shared" si="2"/>
        <v>5.6200597394699966E-10</v>
      </c>
      <c r="Y127" s="139">
        <f t="shared" si="3"/>
        <v>3.6016104983531174</v>
      </c>
      <c r="AA127" s="73"/>
      <c r="AB127" s="176"/>
      <c r="AC127" s="176"/>
      <c r="AD127" s="176"/>
      <c r="AJ127" s="135"/>
    </row>
    <row r="128" spans="9:36" x14ac:dyDescent="0.35">
      <c r="I128" s="109">
        <v>2.9242818289200001E-2</v>
      </c>
      <c r="J128" s="109">
        <v>7.547462570551758E-10</v>
      </c>
      <c r="K128" s="109">
        <v>5.8260301266590114E-11</v>
      </c>
      <c r="L128" s="152">
        <v>6.6850571922716635E-10</v>
      </c>
      <c r="R128" s="60">
        <v>1197.2395196703103</v>
      </c>
      <c r="S128" s="57">
        <v>1.1654498622510918E-6</v>
      </c>
      <c r="U128" s="127">
        <v>4.4809885104270157E-10</v>
      </c>
      <c r="V128" s="127">
        <v>6.6850571922716635E-10</v>
      </c>
      <c r="W128" s="128">
        <v>9.5719060169512289E-10</v>
      </c>
      <c r="X128" s="128">
        <f t="shared" si="2"/>
        <v>6.8557522279803927E-10</v>
      </c>
      <c r="Y128" s="139">
        <f t="shared" si="3"/>
        <v>1.4096233550288324</v>
      </c>
      <c r="AA128" s="73"/>
      <c r="AB128" s="176"/>
      <c r="AC128" s="176"/>
      <c r="AD128" s="176"/>
      <c r="AJ128" s="135"/>
    </row>
    <row r="129" spans="9:36" x14ac:dyDescent="0.35">
      <c r="I129" s="109">
        <v>2.9535246472099999E-2</v>
      </c>
      <c r="J129" s="109">
        <v>9.3355231969234397E-10</v>
      </c>
      <c r="K129" s="109">
        <v>6.6616574597937546E-11</v>
      </c>
      <c r="L129" s="152">
        <v>8.2821584124268433E-10</v>
      </c>
      <c r="R129" s="60">
        <v>1197.2395196703103</v>
      </c>
      <c r="S129" s="57">
        <v>1.1290813468418902E-6</v>
      </c>
      <c r="U129" s="127">
        <v>5.5353767594335122E-10</v>
      </c>
      <c r="V129" s="127">
        <v>8.2821584124268433E-10</v>
      </c>
      <c r="W129" s="128">
        <v>1.1175104185160585E-9</v>
      </c>
      <c r="X129" s="128">
        <f t="shared" si="2"/>
        <v>8.3186994423619466E-10</v>
      </c>
      <c r="Y129" s="139">
        <f t="shared" si="3"/>
        <v>2.3298436178723745</v>
      </c>
      <c r="AA129" s="73"/>
      <c r="AB129" s="176"/>
      <c r="AC129" s="176"/>
      <c r="AD129" s="176"/>
      <c r="AJ129" s="135"/>
    </row>
    <row r="130" spans="9:36" x14ac:dyDescent="0.35">
      <c r="I130" s="109">
        <v>2.9830598936799999E-2</v>
      </c>
      <c r="J130" s="109">
        <v>8.8716652134739704E-10</v>
      </c>
      <c r="K130" s="109">
        <v>6.7333817904478057E-11</v>
      </c>
      <c r="L130" s="152">
        <v>9.9629883641262084E-10</v>
      </c>
      <c r="R130" s="60">
        <v>1197.6940651248558</v>
      </c>
      <c r="S130" s="57">
        <v>1.1290813468418902E-6</v>
      </c>
      <c r="U130" s="127">
        <v>6.9552704082498137E-10</v>
      </c>
      <c r="V130" s="127">
        <v>9.9629883641262084E-10</v>
      </c>
      <c r="W130" s="127">
        <v>1.2527526531046413E-9</v>
      </c>
      <c r="X130" s="128">
        <f t="shared" si="2"/>
        <v>9.852193416887161E-10</v>
      </c>
      <c r="Y130" s="139">
        <f t="shared" si="3"/>
        <v>2.1205753056843029</v>
      </c>
      <c r="AA130" s="73"/>
      <c r="AB130" s="176"/>
      <c r="AC130" s="176"/>
      <c r="AD130" s="176"/>
      <c r="AJ130" s="135"/>
    </row>
    <row r="131" spans="9:36" x14ac:dyDescent="0.35">
      <c r="I131" s="109">
        <v>3.01289049262E-2</v>
      </c>
      <c r="J131" s="49">
        <v>1.0532888802731739E-9</v>
      </c>
      <c r="K131" s="49">
        <v>7.3034617315894229E-11</v>
      </c>
      <c r="L131" s="152">
        <v>1.1537585167843606E-9</v>
      </c>
      <c r="R131" s="60">
        <v>1197.6940651248558</v>
      </c>
      <c r="S131" s="57">
        <v>1.0949627912262054E-6</v>
      </c>
      <c r="U131" s="127">
        <v>8.5985116109552739E-10</v>
      </c>
      <c r="V131" s="127">
        <v>1.1537585167843606E-9</v>
      </c>
      <c r="W131" s="127">
        <v>1.3457894642493207E-9</v>
      </c>
      <c r="X131" s="128">
        <f t="shared" ref="X131:X194" si="4">(U131+2*V131+W131)/4</f>
        <v>1.1282894147283924E-9</v>
      </c>
      <c r="Y131" s="139">
        <f t="shared" ref="Y131:Y194" si="5">(J131-X131)*(J131-X131)/(K131*K131)</f>
        <v>1.0545597719327364</v>
      </c>
      <c r="AA131" s="73"/>
      <c r="AB131" s="176"/>
      <c r="AC131" s="176"/>
      <c r="AD131" s="176"/>
      <c r="AJ131" s="135"/>
    </row>
    <row r="132" spans="9:36" x14ac:dyDescent="0.35">
      <c r="I132" s="109">
        <v>3.0430193975400002E-2</v>
      </c>
      <c r="J132" s="49">
        <v>1.2384850218528094E-9</v>
      </c>
      <c r="K132" s="49">
        <v>8.3364088086984237E-11</v>
      </c>
      <c r="L132" s="152">
        <v>1.2817520224487861E-9</v>
      </c>
      <c r="R132" s="60">
        <v>1198.1486105794013</v>
      </c>
      <c r="S132" s="57">
        <v>1.0949627912262054E-6</v>
      </c>
      <c r="U132" s="127">
        <v>1.0289157790279073E-9</v>
      </c>
      <c r="V132" s="127">
        <v>1.2817520224487861E-9</v>
      </c>
      <c r="W132" s="127">
        <v>1.3836842062690199E-9</v>
      </c>
      <c r="X132" s="128">
        <f t="shared" si="4"/>
        <v>1.2440260075486247E-9</v>
      </c>
      <c r="Y132" s="139">
        <f t="shared" si="5"/>
        <v>4.4179017200679281E-3</v>
      </c>
      <c r="AA132" s="73"/>
      <c r="AB132" s="176"/>
      <c r="AC132" s="176"/>
      <c r="AD132" s="176"/>
      <c r="AJ132" s="135"/>
    </row>
    <row r="133" spans="9:36" x14ac:dyDescent="0.35">
      <c r="I133" s="109">
        <v>3.07344959152E-2</v>
      </c>
      <c r="J133" s="49">
        <v>1.3569793180959825E-9</v>
      </c>
      <c r="K133" s="49">
        <v>9.0202733256465194E-11</v>
      </c>
      <c r="L133" s="152">
        <v>1.3638849974207656E-9</v>
      </c>
      <c r="R133" s="60">
        <v>1198.1486105794013</v>
      </c>
      <c r="S133" s="57">
        <v>1.0635676027029699E-6</v>
      </c>
      <c r="U133" s="127">
        <v>1.1835461007955696E-9</v>
      </c>
      <c r="V133" s="127">
        <v>1.3638849974207656E-9</v>
      </c>
      <c r="W133" s="127">
        <v>1.3596443571320718E-9</v>
      </c>
      <c r="X133" s="128">
        <f t="shared" si="4"/>
        <v>1.3177401131922934E-9</v>
      </c>
      <c r="Y133" s="139">
        <f t="shared" si="5"/>
        <v>0.18923479878004462</v>
      </c>
      <c r="AA133" s="73"/>
      <c r="AB133" s="176"/>
      <c r="AC133" s="176"/>
      <c r="AD133" s="176"/>
      <c r="AJ133" s="135"/>
    </row>
    <row r="134" spans="9:36" x14ac:dyDescent="0.35">
      <c r="I134" s="109">
        <v>3.1041840874300002E-2</v>
      </c>
      <c r="J134" s="49">
        <v>1.3154943084949533E-9</v>
      </c>
      <c r="K134" s="49">
        <v>8.6739294239790853E-11</v>
      </c>
      <c r="L134" s="152">
        <v>1.3884235184486705E-9</v>
      </c>
      <c r="R134" s="60">
        <v>1198.6031560339468</v>
      </c>
      <c r="S134" s="57">
        <v>1.0635676027029699E-6</v>
      </c>
      <c r="U134" s="127">
        <v>1.3051435886803638E-9</v>
      </c>
      <c r="V134" s="127">
        <v>1.3884235184486705E-9</v>
      </c>
      <c r="W134" s="127">
        <v>1.2743757332040286E-9</v>
      </c>
      <c r="X134" s="128">
        <f t="shared" si="4"/>
        <v>1.3390915896954334E-9</v>
      </c>
      <c r="Y134" s="139">
        <f t="shared" si="5"/>
        <v>7.4010300487162811E-2</v>
      </c>
      <c r="AA134" s="73"/>
      <c r="AB134" s="176"/>
      <c r="AC134" s="176"/>
      <c r="AD134" s="176"/>
      <c r="AJ134" s="135"/>
    </row>
    <row r="135" spans="9:36" x14ac:dyDescent="0.35">
      <c r="I135" s="109">
        <v>3.1352259283100002E-2</v>
      </c>
      <c r="J135" s="49">
        <v>1.3184520320589093E-9</v>
      </c>
      <c r="K135" s="49">
        <v>8.8125660048706901E-11</v>
      </c>
      <c r="L135" s="152">
        <v>1.3501340160739674E-9</v>
      </c>
      <c r="R135" s="60">
        <v>1198.6031560339468</v>
      </c>
      <c r="S135" s="57">
        <v>1.0354741219676745E-6</v>
      </c>
      <c r="U135" s="127">
        <v>1.3779788185466544E-9</v>
      </c>
      <c r="V135" s="127">
        <v>1.3501340160739674E-9</v>
      </c>
      <c r="W135" s="127">
        <v>1.1365876726634974E-9</v>
      </c>
      <c r="X135" s="128">
        <f t="shared" si="4"/>
        <v>1.3037086308395215E-9</v>
      </c>
      <c r="Y135" s="139">
        <f t="shared" si="5"/>
        <v>2.7989207582724194E-2</v>
      </c>
      <c r="AA135" s="73"/>
      <c r="AB135" s="176"/>
      <c r="AC135" s="176"/>
      <c r="AD135" s="176"/>
      <c r="AJ135" s="135"/>
    </row>
    <row r="136" spans="9:36" x14ac:dyDescent="0.35">
      <c r="I136" s="109">
        <v>3.1665781875900002E-2</v>
      </c>
      <c r="J136" s="49">
        <v>1.1027436587991662E-9</v>
      </c>
      <c r="K136" s="49">
        <v>8.2367565914921811E-11</v>
      </c>
      <c r="L136" s="152">
        <v>1.2514700515778105E-9</v>
      </c>
      <c r="R136" s="60">
        <v>1199.0577014884923</v>
      </c>
      <c r="S136" s="57">
        <v>1.0354741219676745E-6</v>
      </c>
      <c r="U136" s="127">
        <v>1.3913519911004831E-9</v>
      </c>
      <c r="V136" s="127">
        <v>1.2514700515778105E-9</v>
      </c>
      <c r="W136" s="127">
        <v>9.6247656673628196E-10</v>
      </c>
      <c r="X136" s="128">
        <f t="shared" si="4"/>
        <v>1.2141921652480964E-9</v>
      </c>
      <c r="Y136" s="139">
        <f t="shared" si="5"/>
        <v>1.8307795019900079</v>
      </c>
      <c r="AA136" s="73"/>
      <c r="AB136" s="176"/>
      <c r="AC136" s="176"/>
      <c r="AD136" s="176"/>
      <c r="AJ136" s="135"/>
    </row>
    <row r="137" spans="9:36" x14ac:dyDescent="0.35">
      <c r="I137" s="109">
        <v>3.19824396947E-2</v>
      </c>
      <c r="J137" s="49">
        <v>9.4323303259946027E-10</v>
      </c>
      <c r="K137" s="49">
        <v>8.0348987273475426E-11</v>
      </c>
      <c r="L137" s="152">
        <v>1.1028701843620101E-9</v>
      </c>
      <c r="R137" s="60">
        <v>1199.0577014884923</v>
      </c>
      <c r="S137" s="57">
        <v>1.011463971824994E-6</v>
      </c>
      <c r="U137" s="127">
        <v>1.3413330845281211E-9</v>
      </c>
      <c r="V137" s="127">
        <v>1.1028701843620101E-9</v>
      </c>
      <c r="W137" s="127">
        <v>7.7413137526942836E-10</v>
      </c>
      <c r="X137" s="128">
        <f t="shared" si="4"/>
        <v>1.0803012071303925E-9</v>
      </c>
      <c r="Y137" s="139">
        <f t="shared" si="5"/>
        <v>2.9101303570163304</v>
      </c>
      <c r="AA137" s="73"/>
      <c r="AB137" s="176"/>
      <c r="AC137" s="176"/>
      <c r="AD137" s="176"/>
      <c r="AJ137" s="135"/>
    </row>
    <row r="138" spans="9:36" x14ac:dyDescent="0.35">
      <c r="I138" s="109">
        <v>3.2302264091600003E-2</v>
      </c>
      <c r="J138" s="49">
        <v>8.1692921853610335E-10</v>
      </c>
      <c r="K138" s="49">
        <v>7.8973305847417755E-11</v>
      </c>
      <c r="L138" s="152">
        <v>9.2201650848868524E-10</v>
      </c>
      <c r="R138" s="60">
        <v>1199.5122469430378</v>
      </c>
      <c r="S138" s="57">
        <v>1.011463971824994E-6</v>
      </c>
      <c r="U138" s="127">
        <v>1.2318071314048283E-9</v>
      </c>
      <c r="V138" s="127">
        <v>9.2201650848868524E-10</v>
      </c>
      <c r="W138" s="127">
        <v>5.9695117537204584E-10</v>
      </c>
      <c r="X138" s="128">
        <f t="shared" si="4"/>
        <v>9.1819783093856115E-10</v>
      </c>
      <c r="Y138" s="139">
        <f t="shared" si="5"/>
        <v>1.6443303860260732</v>
      </c>
      <c r="AA138" s="73"/>
      <c r="AB138" s="176"/>
      <c r="AC138" s="176"/>
      <c r="AD138" s="176"/>
      <c r="AJ138" s="135"/>
    </row>
    <row r="139" spans="9:36" x14ac:dyDescent="0.35">
      <c r="I139" s="109">
        <v>3.2625286732500001E-2</v>
      </c>
      <c r="J139" s="49">
        <v>7.1948688928562414E-10</v>
      </c>
      <c r="K139" s="49">
        <v>7.3411282213282419E-11</v>
      </c>
      <c r="L139" s="152">
        <v>7.3202580011784905E-10</v>
      </c>
      <c r="R139" s="60">
        <v>1199.5122469430378</v>
      </c>
      <c r="S139" s="57">
        <v>9.9265097474254156E-7</v>
      </c>
      <c r="U139" s="127">
        <v>1.0746017363216851E-9</v>
      </c>
      <c r="V139" s="127">
        <v>7.3202580011784905E-10</v>
      </c>
      <c r="W139" s="127">
        <v>4.5632497073084328E-10</v>
      </c>
      <c r="X139" s="128">
        <f t="shared" si="4"/>
        <v>7.4874457682205664E-10</v>
      </c>
      <c r="Y139" s="139">
        <f t="shared" si="5"/>
        <v>0.1588379874552649</v>
      </c>
      <c r="AA139" s="73"/>
      <c r="AB139" s="176"/>
      <c r="AC139" s="176"/>
      <c r="AD139" s="176"/>
      <c r="AJ139" s="135"/>
    </row>
    <row r="140" spans="9:36" x14ac:dyDescent="0.35">
      <c r="I140" s="109">
        <v>3.29515395999E-2</v>
      </c>
      <c r="J140" s="49">
        <v>6.8065061550313785E-10</v>
      </c>
      <c r="K140" s="49">
        <v>7.3613198222305542E-11</v>
      </c>
      <c r="L140" s="152">
        <v>5.586946628158706E-10</v>
      </c>
      <c r="R140" s="60">
        <v>1199.9667923975833</v>
      </c>
      <c r="S140" s="57">
        <v>9.9265097474254156E-7</v>
      </c>
      <c r="U140" s="127">
        <v>8.8856514881462316E-10</v>
      </c>
      <c r="V140" s="127">
        <v>5.586946628158706E-10</v>
      </c>
      <c r="W140" s="127">
        <v>3.7397414249540336E-10</v>
      </c>
      <c r="X140" s="128">
        <f t="shared" si="4"/>
        <v>5.9498215423544196E-10</v>
      </c>
      <c r="Y140" s="139">
        <f t="shared" si="5"/>
        <v>1.3543489005586571</v>
      </c>
      <c r="AA140" s="73"/>
      <c r="AB140" s="176"/>
      <c r="AC140" s="176"/>
      <c r="AD140" s="176"/>
      <c r="AJ140" s="135"/>
    </row>
    <row r="141" spans="9:36" x14ac:dyDescent="0.35">
      <c r="I141" s="109">
        <v>3.3281054995899999E-2</v>
      </c>
      <c r="J141" s="49">
        <v>6.4604505680651567E-10</v>
      </c>
      <c r="K141" s="49">
        <v>7.2287571474085892E-11</v>
      </c>
      <c r="L141" s="152">
        <v>4.2707881195218529E-10</v>
      </c>
      <c r="R141" s="60">
        <v>1199.9667923975833</v>
      </c>
      <c r="S141" s="57">
        <v>9.8062614765397006E-7</v>
      </c>
      <c r="U141" s="127">
        <v>6.9758992493137807E-10</v>
      </c>
      <c r="V141" s="127">
        <v>4.2707881195218529E-10</v>
      </c>
      <c r="W141" s="127">
        <v>3.6446976062145252E-10</v>
      </c>
      <c r="X141" s="128">
        <f t="shared" si="4"/>
        <v>4.7905432736430031E-10</v>
      </c>
      <c r="Y141" s="139">
        <f t="shared" si="5"/>
        <v>5.336511554992116</v>
      </c>
      <c r="AA141" s="73"/>
      <c r="AB141" s="176"/>
      <c r="AC141" s="176"/>
      <c r="AD141" s="176"/>
      <c r="AJ141" s="135"/>
    </row>
    <row r="142" spans="9:36" x14ac:dyDescent="0.35">
      <c r="I142" s="109">
        <v>3.3613865545800002E-2</v>
      </c>
      <c r="J142" s="49">
        <v>4.5329965852690947E-10</v>
      </c>
      <c r="K142" s="49">
        <v>6.3337086245264269E-11</v>
      </c>
      <c r="L142" s="152">
        <v>3.5783012257657187E-10</v>
      </c>
      <c r="R142" s="60">
        <v>1200.4213378521288</v>
      </c>
      <c r="S142" s="57">
        <v>9.8062614765397006E-7</v>
      </c>
      <c r="U142" s="127">
        <v>5.2772831912184837E-10</v>
      </c>
      <c r="V142" s="127">
        <v>3.5783012257657187E-10</v>
      </c>
      <c r="W142" s="127">
        <v>4.3248297693481294E-10</v>
      </c>
      <c r="X142" s="128">
        <f t="shared" si="4"/>
        <v>4.1896788530245129E-10</v>
      </c>
      <c r="Y142" s="139">
        <f t="shared" si="5"/>
        <v>0.29381658714993625</v>
      </c>
      <c r="AA142" s="73"/>
      <c r="AB142" s="176"/>
      <c r="AC142" s="176"/>
      <c r="AD142" s="176"/>
      <c r="AJ142" s="135"/>
    </row>
    <row r="143" spans="9:36" x14ac:dyDescent="0.35">
      <c r="I143" s="109">
        <v>3.3950004201300003E-2</v>
      </c>
      <c r="J143" s="49">
        <v>5.1785098655964819E-10</v>
      </c>
      <c r="K143" s="49">
        <v>6.7902651401528725E-11</v>
      </c>
      <c r="L143" s="152">
        <v>3.6381520960730438E-10</v>
      </c>
      <c r="R143" s="60">
        <v>1200.4213378521288</v>
      </c>
      <c r="S143" s="57">
        <v>9.7758703755959513E-7</v>
      </c>
      <c r="U143" s="127">
        <v>4.0370230483568713E-10</v>
      </c>
      <c r="V143" s="127">
        <v>3.6381520960730438E-10</v>
      </c>
      <c r="W143" s="127">
        <v>5.7128653424435021E-10</v>
      </c>
      <c r="X143" s="128">
        <f t="shared" si="4"/>
        <v>4.2565481457366151E-10</v>
      </c>
      <c r="Y143" s="139">
        <f t="shared" si="5"/>
        <v>1.8435389326931082</v>
      </c>
      <c r="AA143" s="73"/>
      <c r="AB143" s="176"/>
      <c r="AC143" s="176"/>
      <c r="AD143" s="176"/>
      <c r="AJ143" s="135"/>
    </row>
    <row r="144" spans="9:36" x14ac:dyDescent="0.35">
      <c r="I144" s="109">
        <v>3.4289504243299997E-2</v>
      </c>
      <c r="J144" s="49">
        <v>5.6198880823737356E-10</v>
      </c>
      <c r="K144" s="49">
        <v>7.1693125796507244E-11</v>
      </c>
      <c r="L144" s="152">
        <v>4.475699383506237E-10</v>
      </c>
      <c r="O144" s="30"/>
      <c r="R144" s="60">
        <v>1200.8758833066743</v>
      </c>
      <c r="S144" s="57">
        <v>9.7758703755959513E-7</v>
      </c>
      <c r="U144" s="127">
        <v>3.4524851987236463E-10</v>
      </c>
      <c r="V144" s="127">
        <v>4.475699383506237E-10</v>
      </c>
      <c r="W144" s="127">
        <v>7.6289173501219907E-10</v>
      </c>
      <c r="X144" s="128">
        <f t="shared" si="4"/>
        <v>5.008200328964528E-10</v>
      </c>
      <c r="Y144" s="139">
        <f t="shared" si="5"/>
        <v>0.72795501008734576</v>
      </c>
      <c r="AA144" s="73"/>
      <c r="AB144" s="176"/>
      <c r="AC144" s="176"/>
      <c r="AD144" s="176"/>
      <c r="AJ144" s="135"/>
    </row>
    <row r="145" spans="9:36" x14ac:dyDescent="0.35">
      <c r="I145" s="109">
        <v>3.46323992857E-2</v>
      </c>
      <c r="J145" s="49">
        <v>7.3677201238328228E-10</v>
      </c>
      <c r="K145" s="49">
        <v>8.3841407302428382E-11</v>
      </c>
      <c r="L145" s="152">
        <v>6.0008734986006557E-10</v>
      </c>
      <c r="R145" s="60">
        <v>1200.8758833066743</v>
      </c>
      <c r="S145" s="57">
        <v>9.8640134646131511E-7</v>
      </c>
      <c r="U145" s="127">
        <v>3.6382880503465016E-10</v>
      </c>
      <c r="V145" s="127">
        <v>6.0008734986006557E-10</v>
      </c>
      <c r="W145" s="127">
        <v>9.7998721970372941E-10</v>
      </c>
      <c r="X145" s="128">
        <f t="shared" si="4"/>
        <v>6.3599768111462761E-10</v>
      </c>
      <c r="Y145" s="139">
        <f t="shared" si="5"/>
        <v>1.4447168259830645</v>
      </c>
      <c r="AA145" s="73"/>
      <c r="AB145" s="176"/>
      <c r="AC145" s="176"/>
      <c r="AD145" s="176"/>
      <c r="AJ145" s="135"/>
    </row>
    <row r="146" spans="9:36" x14ac:dyDescent="0.35">
      <c r="I146" s="109">
        <v>3.49787232786E-2</v>
      </c>
      <c r="J146" s="49">
        <v>8.1859890729679635E-10</v>
      </c>
      <c r="K146" s="49">
        <v>8.8824266000751536E-11</v>
      </c>
      <c r="L146" s="152">
        <v>8.0128750956229076E-10</v>
      </c>
      <c r="R146" s="60">
        <v>1201.3304287612198</v>
      </c>
      <c r="S146" s="57">
        <v>9.8640134646131511E-7</v>
      </c>
      <c r="U146" s="127">
        <v>4.6025542911940449E-10</v>
      </c>
      <c r="V146" s="127">
        <v>8.0128750956229076E-10</v>
      </c>
      <c r="W146" s="127">
        <v>1.1895693351656993E-9</v>
      </c>
      <c r="X146" s="128">
        <f t="shared" si="4"/>
        <v>8.1309994585242128E-10</v>
      </c>
      <c r="Y146" s="139">
        <f t="shared" si="5"/>
        <v>3.8326405884879645E-3</v>
      </c>
      <c r="AA146" s="73"/>
      <c r="AB146" s="176"/>
      <c r="AC146" s="176"/>
      <c r="AD146" s="176"/>
      <c r="AJ146" s="135"/>
    </row>
    <row r="147" spans="9:36" x14ac:dyDescent="0.35">
      <c r="I147" s="109">
        <v>3.5328510511399999E-2</v>
      </c>
      <c r="J147" s="49">
        <v>1.0018724144955061E-9</v>
      </c>
      <c r="K147" s="49">
        <v>9.7945170013852521E-11</v>
      </c>
      <c r="L147" s="152">
        <v>1.022288623024837E-9</v>
      </c>
      <c r="R147" s="60">
        <v>1201.3304287612198</v>
      </c>
      <c r="S147" s="57">
        <v>1.0105429904862265E-6</v>
      </c>
      <c r="U147" s="127">
        <v>6.2371040960371873E-10</v>
      </c>
      <c r="V147" s="127">
        <v>1.022288623024837E-9</v>
      </c>
      <c r="W147" s="127">
        <v>1.3578577219768226E-9</v>
      </c>
      <c r="X147" s="128">
        <f t="shared" si="4"/>
        <v>1.0065363444075537E-9</v>
      </c>
      <c r="Y147" s="139">
        <f t="shared" si="5"/>
        <v>2.267451371922516E-3</v>
      </c>
      <c r="AA147" s="73"/>
      <c r="AB147" s="176"/>
      <c r="AC147" s="176"/>
      <c r="AD147" s="176"/>
      <c r="AJ147" s="135"/>
    </row>
    <row r="148" spans="9:36" x14ac:dyDescent="0.35">
      <c r="I148" s="109">
        <v>3.5681795616499999E-2</v>
      </c>
      <c r="J148" s="49">
        <v>1.1475384020257153E-9</v>
      </c>
      <c r="K148" s="49">
        <v>1.0370541778363601E-10</v>
      </c>
      <c r="L148" s="152">
        <v>1.2293172176409844E-9</v>
      </c>
      <c r="R148" s="60">
        <v>1201.7849742157653</v>
      </c>
      <c r="S148" s="57">
        <v>1.0105429904862265E-6</v>
      </c>
      <c r="U148" s="127">
        <v>8.3247814412142284E-10</v>
      </c>
      <c r="V148" s="127">
        <v>1.2293172176409844E-9</v>
      </c>
      <c r="W148" s="127">
        <v>1.4558208341878171E-9</v>
      </c>
      <c r="X148" s="128">
        <f t="shared" si="4"/>
        <v>1.1867333533978023E-9</v>
      </c>
      <c r="Y148" s="139">
        <f t="shared" si="5"/>
        <v>0.14284247585327497</v>
      </c>
      <c r="AA148" s="73"/>
      <c r="AB148" s="176"/>
      <c r="AC148" s="176"/>
      <c r="AD148" s="176"/>
      <c r="AJ148" s="135"/>
    </row>
    <row r="149" spans="9:36" x14ac:dyDescent="0.35">
      <c r="I149" s="109">
        <v>3.6038613572599999E-2</v>
      </c>
      <c r="J149" s="49">
        <v>1.4082970351792102E-9</v>
      </c>
      <c r="K149" s="49">
        <v>1.220722018905946E-10</v>
      </c>
      <c r="L149" s="152">
        <v>1.3888014787964174E-9</v>
      </c>
      <c r="R149" s="60">
        <v>1201.7849742157653</v>
      </c>
      <c r="S149" s="57">
        <v>1.053843293947234E-6</v>
      </c>
      <c r="U149" s="127">
        <v>1.0564736374437849E-9</v>
      </c>
      <c r="V149" s="127">
        <v>1.3888014787964174E-9</v>
      </c>
      <c r="W149" s="127">
        <v>1.4644429042670723E-9</v>
      </c>
      <c r="X149" s="128">
        <f t="shared" si="4"/>
        <v>1.3246298748259229E-9</v>
      </c>
      <c r="Y149" s="139">
        <f t="shared" si="5"/>
        <v>0.46976050652202928</v>
      </c>
      <c r="AA149" s="73"/>
      <c r="AB149" s="176"/>
      <c r="AC149" s="176"/>
      <c r="AD149" s="176"/>
      <c r="AJ149" s="135"/>
    </row>
    <row r="150" spans="9:36" x14ac:dyDescent="0.35">
      <c r="I150" s="109">
        <v>3.63989997084E-2</v>
      </c>
      <c r="J150" s="49">
        <v>1.3446545877688181E-9</v>
      </c>
      <c r="K150" s="49">
        <v>1.1814328440171535E-10</v>
      </c>
      <c r="L150" s="152">
        <v>1.4729331666279193E-9</v>
      </c>
      <c r="R150" s="60">
        <v>1202.2395196703108</v>
      </c>
      <c r="S150" s="57">
        <v>1.053843293947234E-6</v>
      </c>
      <c r="U150" s="127">
        <v>1.2613641449157699E-9</v>
      </c>
      <c r="V150" s="127">
        <v>1.4729331666279193E-9</v>
      </c>
      <c r="W150" s="127">
        <v>1.3787904059080059E-9</v>
      </c>
      <c r="X150" s="128">
        <f t="shared" si="4"/>
        <v>1.3965052210199035E-9</v>
      </c>
      <c r="Y150" s="139">
        <f t="shared" si="5"/>
        <v>0.19261497528006213</v>
      </c>
      <c r="AA150" s="73"/>
      <c r="AB150" s="176"/>
      <c r="AC150" s="176"/>
      <c r="AD150" s="176"/>
      <c r="AJ150" s="135"/>
    </row>
    <row r="151" spans="9:36" x14ac:dyDescent="0.35">
      <c r="I151" s="109">
        <v>3.6762989705399998E-2</v>
      </c>
      <c r="J151" s="49">
        <v>1.1218636841679213E-9</v>
      </c>
      <c r="K151" s="49">
        <v>1.0706758555779964E-10</v>
      </c>
      <c r="L151" s="152">
        <v>1.4651350196969271E-9</v>
      </c>
      <c r="R151" s="60">
        <v>1202.2395196703108</v>
      </c>
      <c r="S151" s="57">
        <v>1.1200291416592184E-6</v>
      </c>
      <c r="U151" s="127">
        <v>1.413942488076393E-9</v>
      </c>
      <c r="V151" s="127">
        <v>1.4651350196969271E-9</v>
      </c>
      <c r="W151" s="127">
        <v>1.21036092470956E-9</v>
      </c>
      <c r="X151" s="128">
        <f t="shared" si="4"/>
        <v>1.3886433630449517E-9</v>
      </c>
      <c r="Y151" s="139">
        <f t="shared" si="5"/>
        <v>6.2085398436393335</v>
      </c>
      <c r="AA151" s="73"/>
      <c r="AB151" s="176"/>
      <c r="AC151" s="176"/>
      <c r="AD151" s="176"/>
      <c r="AJ151" s="135"/>
    </row>
    <row r="152" spans="9:36" x14ac:dyDescent="0.35">
      <c r="I152" s="109">
        <v>3.7130619602499998E-2</v>
      </c>
      <c r="J152" s="49">
        <v>1.0238759764219772E-9</v>
      </c>
      <c r="K152" s="49">
        <v>1.1081960772432363E-10</v>
      </c>
      <c r="L152" s="152">
        <v>1.3625621952666134E-9</v>
      </c>
      <c r="R152" s="60">
        <v>1202.6940651248563</v>
      </c>
      <c r="S152" s="57">
        <v>1.1200291416592184E-6</v>
      </c>
      <c r="U152" s="127">
        <v>1.4872065691923137E-9</v>
      </c>
      <c r="V152" s="127">
        <v>1.3625621952666134E-9</v>
      </c>
      <c r="W152" s="127">
        <v>9.8495822731766281E-10</v>
      </c>
      <c r="X152" s="128">
        <f t="shared" si="4"/>
        <v>1.2993222967608008E-9</v>
      </c>
      <c r="Y152" s="139">
        <f t="shared" si="5"/>
        <v>6.1778979918962316</v>
      </c>
      <c r="AA152" s="73"/>
      <c r="AB152" s="176"/>
      <c r="AC152" s="176"/>
      <c r="AD152" s="176"/>
      <c r="AJ152" s="135"/>
    </row>
    <row r="153" spans="9:36" x14ac:dyDescent="0.35">
      <c r="I153" s="109">
        <v>3.7501925798500001E-2</v>
      </c>
      <c r="J153" s="49">
        <v>1.191591822201234E-9</v>
      </c>
      <c r="K153" s="49">
        <v>1.1857724855509744E-10</v>
      </c>
      <c r="L153" s="152">
        <v>1.1795041177363494E-9</v>
      </c>
      <c r="R153" s="60">
        <v>1202.6940651248563</v>
      </c>
      <c r="S153" s="57">
        <v>1.2120746870923154E-6</v>
      </c>
      <c r="U153" s="127">
        <v>1.4659452024843723E-9</v>
      </c>
      <c r="V153" s="127">
        <v>1.1795041177363494E-9</v>
      </c>
      <c r="W153" s="127">
        <v>7.4136877873255534E-10</v>
      </c>
      <c r="X153" s="128">
        <f t="shared" si="4"/>
        <v>1.1415805541724066E-9</v>
      </c>
      <c r="Y153" s="139">
        <f t="shared" si="5"/>
        <v>0.17788240586257897</v>
      </c>
      <c r="AA153" s="73"/>
      <c r="AB153" s="176"/>
      <c r="AC153" s="176"/>
      <c r="AD153" s="176"/>
      <c r="AJ153" s="135"/>
    </row>
    <row r="154" spans="9:36" x14ac:dyDescent="0.35">
      <c r="I154" s="109">
        <v>3.7876945056500001E-2</v>
      </c>
      <c r="J154" s="49">
        <v>8.467380711640919E-10</v>
      </c>
      <c r="K154" s="49">
        <v>1.0168637680776688E-10</v>
      </c>
      <c r="L154" s="152">
        <v>9.451141264174407E-10</v>
      </c>
      <c r="R154" s="60">
        <v>1203.1486105794017</v>
      </c>
      <c r="S154" s="57">
        <v>1.2120746870923154E-6</v>
      </c>
      <c r="U154" s="127">
        <v>1.3500550817187862E-9</v>
      </c>
      <c r="V154" s="127">
        <v>9.451141264174407E-10</v>
      </c>
      <c r="W154" s="127">
        <v>5.2373740602734158E-10</v>
      </c>
      <c r="X154" s="128">
        <f t="shared" si="4"/>
        <v>9.4100518514525229E-10</v>
      </c>
      <c r="Y154" s="139">
        <f t="shared" si="5"/>
        <v>0.85939906321618587</v>
      </c>
      <c r="AA154" s="73"/>
      <c r="AB154" s="176"/>
      <c r="AC154" s="176"/>
      <c r="AD154" s="176"/>
      <c r="AJ154" s="135"/>
    </row>
    <row r="155" spans="9:36" x14ac:dyDescent="0.35">
      <c r="I155" s="109">
        <v>3.8255714507099997E-2</v>
      </c>
      <c r="J155" s="49">
        <v>7.7167304505994919E-10</v>
      </c>
      <c r="K155" s="49">
        <v>9.7008101233756503E-11</v>
      </c>
      <c r="L155" s="152">
        <v>6.9961281002156422E-10</v>
      </c>
      <c r="R155" s="60">
        <v>1203.1486105794017</v>
      </c>
      <c r="S155" s="57">
        <v>1.3314631088803327E-6</v>
      </c>
      <c r="U155" s="127">
        <v>1.1558295431145746E-9</v>
      </c>
      <c r="V155" s="127">
        <v>6.9961281002156422E-10</v>
      </c>
      <c r="W155" s="127">
        <v>3.7406432744354595E-10</v>
      </c>
      <c r="X155" s="128">
        <f t="shared" si="4"/>
        <v>7.3227987265031224E-10</v>
      </c>
      <c r="Y155" s="139">
        <f t="shared" si="5"/>
        <v>0.16490199332675784</v>
      </c>
      <c r="AA155" s="73"/>
      <c r="AB155" s="176"/>
      <c r="AC155" s="176"/>
      <c r="AD155" s="176"/>
      <c r="AJ155" s="135"/>
    </row>
    <row r="156" spans="9:36" x14ac:dyDescent="0.35">
      <c r="I156" s="109">
        <v>3.8638271652100001E-2</v>
      </c>
      <c r="J156" s="49">
        <v>4.3216204315015407E-10</v>
      </c>
      <c r="K156" s="49">
        <v>7.8231412503672781E-11</v>
      </c>
      <c r="L156" s="152">
        <v>4.8775956896979279E-10</v>
      </c>
      <c r="R156" s="60">
        <v>1203.6031560339472</v>
      </c>
      <c r="S156" s="57">
        <v>1.3314631088803327E-6</v>
      </c>
      <c r="U156" s="127">
        <v>9.1441527856347627E-10</v>
      </c>
      <c r="V156" s="127">
        <v>4.8775956896979279E-10</v>
      </c>
      <c r="W156" s="127">
        <v>3.2395063361890662E-10</v>
      </c>
      <c r="X156" s="128">
        <f t="shared" si="4"/>
        <v>5.5347126253049209E-10</v>
      </c>
      <c r="Y156" s="139">
        <f t="shared" si="5"/>
        <v>2.4045027202811009</v>
      </c>
      <c r="AA156" s="73"/>
      <c r="AB156" s="176"/>
      <c r="AC156" s="176"/>
      <c r="AD156" s="176"/>
      <c r="AJ156" s="135"/>
    </row>
    <row r="157" spans="9:36" x14ac:dyDescent="0.35">
      <c r="I157" s="109">
        <v>3.90246543687E-2</v>
      </c>
      <c r="J157" s="49">
        <v>4.0444097434967112E-10</v>
      </c>
      <c r="K157" s="49">
        <v>8.0611569424178245E-11</v>
      </c>
      <c r="L157" s="152">
        <v>3.5078562614611032E-10</v>
      </c>
      <c r="R157" s="60">
        <v>1203.6031560339472</v>
      </c>
      <c r="S157" s="57">
        <v>1.4775176409391379E-6</v>
      </c>
      <c r="U157" s="127">
        <v>6.673980819573514E-10</v>
      </c>
      <c r="V157" s="127">
        <v>3.5078562614611032E-10</v>
      </c>
      <c r="W157" s="127">
        <v>3.8756063441147975E-10</v>
      </c>
      <c r="X157" s="128">
        <f t="shared" si="4"/>
        <v>4.3913249216526291E-10</v>
      </c>
      <c r="Y157" s="139">
        <f t="shared" si="5"/>
        <v>0.18520463437224041</v>
      </c>
      <c r="AA157" s="73"/>
      <c r="AB157" s="176"/>
      <c r="AC157" s="176"/>
      <c r="AD157" s="176"/>
      <c r="AJ157" s="135"/>
    </row>
    <row r="158" spans="9:36" x14ac:dyDescent="0.35">
      <c r="I158" s="109">
        <v>3.9414900912399999E-2</v>
      </c>
      <c r="J158" s="49">
        <v>3.9910765182674045E-10</v>
      </c>
      <c r="K158" s="49">
        <v>7.8807278432125811E-11</v>
      </c>
      <c r="L158" s="152">
        <v>3.1818160948755935E-10</v>
      </c>
      <c r="R158" s="60">
        <v>1204.0577014884927</v>
      </c>
      <c r="S158" s="57">
        <v>1.4775176409391379E-6</v>
      </c>
      <c r="U158" s="127">
        <v>4.5998601151277214E-10</v>
      </c>
      <c r="V158" s="127">
        <v>3.1818160948755935E-10</v>
      </c>
      <c r="W158" s="127">
        <v>5.5738691502896713E-10</v>
      </c>
      <c r="X158" s="128">
        <f t="shared" si="4"/>
        <v>4.1343403637921451E-10</v>
      </c>
      <c r="Y158" s="139">
        <f t="shared" si="5"/>
        <v>3.3047647496282473E-2</v>
      </c>
      <c r="AA158" s="73"/>
      <c r="AB158" s="176"/>
      <c r="AC158" s="176"/>
      <c r="AD158" s="176"/>
      <c r="AJ158" s="135"/>
    </row>
    <row r="159" spans="9:36" x14ac:dyDescent="0.35">
      <c r="I159" s="109">
        <v>3.98090499215E-2</v>
      </c>
      <c r="J159" s="49">
        <v>5.0748743963916339E-10</v>
      </c>
      <c r="K159" s="49">
        <v>8.8314936454188133E-11</v>
      </c>
      <c r="L159" s="152">
        <v>4.00967360079413E-10</v>
      </c>
      <c r="R159" s="60">
        <v>1204.0577014884927</v>
      </c>
      <c r="S159" s="57">
        <v>1.6469890439579994E-6</v>
      </c>
      <c r="U159" s="127">
        <v>3.3279777911861405E-10</v>
      </c>
      <c r="V159" s="127">
        <v>4.00967360079413E-10</v>
      </c>
      <c r="W159" s="127">
        <v>8.0403425399929002E-10</v>
      </c>
      <c r="X159" s="128">
        <f t="shared" si="4"/>
        <v>4.8469168831918253E-10</v>
      </c>
      <c r="Y159" s="139">
        <f t="shared" si="5"/>
        <v>6.6625349403446041E-2</v>
      </c>
      <c r="AA159" s="73"/>
      <c r="AB159" s="176"/>
      <c r="AC159" s="176"/>
      <c r="AD159" s="176"/>
      <c r="AJ159" s="135"/>
    </row>
    <row r="160" spans="9:36" x14ac:dyDescent="0.35">
      <c r="I160" s="109">
        <v>4.0207140420699998E-2</v>
      </c>
      <c r="J160" s="49">
        <v>6.4268401699170708E-10</v>
      </c>
      <c r="K160" s="49">
        <v>9.4916034262491775E-11</v>
      </c>
      <c r="L160" s="153">
        <v>5.8799774234470114E-10</v>
      </c>
      <c r="M160" s="32"/>
      <c r="R160" s="60">
        <v>1204.5122469430382</v>
      </c>
      <c r="S160" s="57">
        <v>1.6469890439579994E-6</v>
      </c>
      <c r="U160" s="127">
        <v>3.1369315534401927E-10</v>
      </c>
      <c r="V160" s="127">
        <v>5.8799774234470114E-10</v>
      </c>
      <c r="W160" s="127">
        <v>1.080544814633208E-9</v>
      </c>
      <c r="X160" s="128">
        <f t="shared" si="4"/>
        <v>6.4255836366665739E-10</v>
      </c>
      <c r="Y160" s="139">
        <f t="shared" si="5"/>
        <v>1.7525434820298011E-6</v>
      </c>
      <c r="AA160" s="73"/>
      <c r="AB160" s="176"/>
      <c r="AC160" s="176"/>
      <c r="AD160" s="176"/>
      <c r="AJ160" s="135"/>
    </row>
    <row r="161" spans="1:36" x14ac:dyDescent="0.35">
      <c r="I161" s="109">
        <v>4.0609211824900002E-2</v>
      </c>
      <c r="J161" s="49">
        <v>7.8621269007415023E-10</v>
      </c>
      <c r="K161" s="49">
        <v>1.0795528538870603E-10</v>
      </c>
      <c r="L161" s="153">
        <v>8.4643603250173448E-10</v>
      </c>
      <c r="M161" s="32"/>
      <c r="R161" s="60">
        <v>1204.5122469430382</v>
      </c>
      <c r="S161" s="57">
        <v>1.8340586949659992E-6</v>
      </c>
      <c r="U161" s="127">
        <v>4.1128469235647731E-10</v>
      </c>
      <c r="V161" s="127">
        <v>8.4643603250173448E-10</v>
      </c>
      <c r="W161" s="127">
        <v>1.3308735165861213E-9</v>
      </c>
      <c r="X161" s="128">
        <f t="shared" si="4"/>
        <v>8.5875756848651691E-10</v>
      </c>
      <c r="Y161" s="139">
        <f t="shared" si="5"/>
        <v>0.45157063708730294</v>
      </c>
      <c r="AA161" s="73"/>
      <c r="AB161" s="176"/>
      <c r="AC161" s="176"/>
      <c r="AD161" s="176"/>
      <c r="AJ161" s="135"/>
    </row>
    <row r="162" spans="1:36" x14ac:dyDescent="0.35">
      <c r="I162" s="109">
        <v>4.1015303943099997E-2</v>
      </c>
      <c r="J162" s="49">
        <v>1.0176965721093998E-9</v>
      </c>
      <c r="K162" s="49">
        <v>1.2915451170691867E-10</v>
      </c>
      <c r="L162" s="153">
        <v>1.1267913687661171E-9</v>
      </c>
      <c r="M162" s="32"/>
      <c r="R162" s="60">
        <v>1204.9667923975837</v>
      </c>
      <c r="S162" s="57">
        <v>1.8340586949659992E-6</v>
      </c>
      <c r="U162" s="127">
        <v>6.1165729694488658E-10</v>
      </c>
      <c r="V162" s="127">
        <v>1.1267913687661171E-9</v>
      </c>
      <c r="W162" s="127">
        <v>1.5011602532770115E-9</v>
      </c>
      <c r="X162" s="128">
        <f t="shared" si="4"/>
        <v>1.0916000719385331E-9</v>
      </c>
      <c r="Y162" s="139">
        <f t="shared" si="5"/>
        <v>0.32742425472906245</v>
      </c>
      <c r="AA162" s="73"/>
      <c r="AB162" s="176"/>
      <c r="AC162" s="176"/>
      <c r="AD162" s="176"/>
      <c r="AJ162" s="135"/>
    </row>
    <row r="163" spans="1:36" x14ac:dyDescent="0.35">
      <c r="I163" s="109">
        <v>4.1425456982600001E-2</v>
      </c>
      <c r="J163" s="49">
        <v>1.1215398585620913E-9</v>
      </c>
      <c r="K163" s="49">
        <v>1.3724274972480516E-10</v>
      </c>
      <c r="L163" s="153">
        <v>1.3719832257070318E-9</v>
      </c>
      <c r="M163" s="32"/>
      <c r="R163" s="60">
        <v>1204.9667923975837</v>
      </c>
      <c r="S163" s="57">
        <v>1.9812134662840552E-6</v>
      </c>
      <c r="U163" s="127">
        <v>8.7936186186251788E-10</v>
      </c>
      <c r="V163" s="127">
        <v>1.3719832257070318E-9</v>
      </c>
      <c r="W163" s="127">
        <v>1.5516423456627299E-9</v>
      </c>
      <c r="X163" s="128">
        <f t="shared" si="4"/>
        <v>1.2937426647348277E-9</v>
      </c>
      <c r="Y163" s="139">
        <f t="shared" si="5"/>
        <v>1.574351227536559</v>
      </c>
      <c r="AA163" s="73"/>
      <c r="AB163" s="176"/>
      <c r="AC163" s="176"/>
      <c r="AD163" s="176"/>
      <c r="AJ163" s="135"/>
    </row>
    <row r="164" spans="1:36" x14ac:dyDescent="0.35">
      <c r="I164" s="109">
        <v>4.1839711552400002E-2</v>
      </c>
      <c r="J164" s="49">
        <v>1.1877432109738247E-9</v>
      </c>
      <c r="K164" s="49">
        <v>1.4333432336051675E-10</v>
      </c>
      <c r="L164" s="153">
        <v>1.5289416668608646E-9</v>
      </c>
      <c r="M164" s="32"/>
      <c r="R164" s="60">
        <v>1205.1940651248565</v>
      </c>
      <c r="S164" s="57">
        <v>1.9812134662840552E-6</v>
      </c>
      <c r="U164" s="127">
        <v>1.1629849101299129E-9</v>
      </c>
      <c r="V164" s="127">
        <v>1.5289416668608646E-9</v>
      </c>
      <c r="W164" s="127">
        <v>1.4666115259584794E-9</v>
      </c>
      <c r="X164" s="128">
        <f t="shared" si="4"/>
        <v>1.4218699424525305E-9</v>
      </c>
      <c r="Y164" s="139">
        <f t="shared" si="5"/>
        <v>2.668096930623467</v>
      </c>
      <c r="AA164" s="73"/>
      <c r="AB164" s="176"/>
      <c r="AC164" s="176"/>
      <c r="AD164" s="176"/>
      <c r="AJ164" s="135"/>
    </row>
    <row r="165" spans="1:36" x14ac:dyDescent="0.35">
      <c r="I165" s="109">
        <v>4.2258108667900002E-2</v>
      </c>
      <c r="J165" s="49">
        <v>1.0798516534172407E-9</v>
      </c>
      <c r="K165" s="49">
        <v>1.4137325453541103E-10</v>
      </c>
      <c r="L165" s="153">
        <v>1.5604870166085494E-9</v>
      </c>
      <c r="M165" s="32"/>
      <c r="R165" s="60">
        <v>1205.1940651248565</v>
      </c>
      <c r="S165" s="57">
        <v>2.0823394542220977E-6</v>
      </c>
      <c r="U165" s="127">
        <v>1.4046494748200216E-9</v>
      </c>
      <c r="V165" s="127">
        <v>1.5604870166085494E-9</v>
      </c>
      <c r="W165" s="127">
        <v>1.2599056017951886E-9</v>
      </c>
      <c r="X165" s="128">
        <f t="shared" si="4"/>
        <v>1.4463822774580772E-9</v>
      </c>
      <c r="Y165" s="139">
        <f t="shared" si="5"/>
        <v>6.7218067219154509</v>
      </c>
      <c r="AA165" s="73"/>
      <c r="AB165" s="176"/>
      <c r="AC165" s="176"/>
      <c r="AD165" s="176"/>
      <c r="AJ165" s="135"/>
    </row>
    <row r="166" spans="1:36" x14ac:dyDescent="0.35">
      <c r="I166" s="109">
        <v>4.2680689754600001E-2</v>
      </c>
      <c r="J166" s="49">
        <v>1.2259682192426653E-9</v>
      </c>
      <c r="K166" s="49">
        <v>1.5516675377684266E-10</v>
      </c>
      <c r="L166" s="153">
        <v>1.4548586418041998E-9</v>
      </c>
      <c r="M166" s="32"/>
      <c r="R166" s="60">
        <v>1205.4683959235858</v>
      </c>
      <c r="S166" s="57">
        <v>2.0823394542220977E-6</v>
      </c>
      <c r="U166" s="127">
        <v>1.5518554329867564E-9</v>
      </c>
      <c r="V166" s="127">
        <v>1.4548586418041998E-9</v>
      </c>
      <c r="W166" s="127">
        <v>9.7411086767667528E-10</v>
      </c>
      <c r="X166" s="128">
        <f t="shared" si="4"/>
        <v>1.3589208960679578E-9</v>
      </c>
      <c r="Y166" s="139">
        <f t="shared" si="5"/>
        <v>0.73417031847231806</v>
      </c>
      <c r="AA166" s="73"/>
      <c r="AB166" s="176"/>
      <c r="AC166" s="176"/>
      <c r="AD166" s="176"/>
      <c r="AJ166" s="135"/>
    </row>
    <row r="167" spans="1:36" x14ac:dyDescent="0.35">
      <c r="I167" s="109">
        <v>4.3107496652199997E-2</v>
      </c>
      <c r="J167" s="49">
        <v>9.527939001861851E-10</v>
      </c>
      <c r="K167" s="49">
        <v>1.3742360226524748E-10</v>
      </c>
      <c r="L167" s="153">
        <v>1.2304317283293819E-9</v>
      </c>
      <c r="M167" s="32"/>
      <c r="R167" s="60">
        <v>1205.4683959235858</v>
      </c>
      <c r="S167" s="57">
        <v>2.2031849623988735E-6</v>
      </c>
      <c r="U167" s="127">
        <v>1.569331309511554E-9</v>
      </c>
      <c r="V167" s="127">
        <v>1.2304317283293819E-9</v>
      </c>
      <c r="W167" s="127">
        <v>6.7288972510911831E-10</v>
      </c>
      <c r="X167" s="128">
        <f t="shared" si="4"/>
        <v>1.1757711228198589E-9</v>
      </c>
      <c r="Y167" s="139">
        <f t="shared" si="5"/>
        <v>2.6326816501918922</v>
      </c>
      <c r="AA167" s="73"/>
      <c r="AB167" s="176"/>
      <c r="AC167" s="176"/>
      <c r="AD167" s="176"/>
      <c r="AJ167" s="135"/>
    </row>
    <row r="168" spans="1:36" x14ac:dyDescent="0.35">
      <c r="I168" s="109">
        <v>4.3538571618699999E-2</v>
      </c>
      <c r="J168" s="49">
        <v>6.1625160569052782E-10</v>
      </c>
      <c r="K168" s="49">
        <v>1.2672339885044534E-10</v>
      </c>
      <c r="L168" s="153">
        <v>9.3393362088025179E-10</v>
      </c>
      <c r="M168" s="32"/>
      <c r="R168" s="60">
        <v>1205.7474137492181</v>
      </c>
      <c r="S168" s="57">
        <v>2.2031849623988735E-6</v>
      </c>
      <c r="U168" s="127">
        <v>1.4482438755003629E-9</v>
      </c>
      <c r="V168" s="127">
        <v>9.3393362088025179E-10</v>
      </c>
      <c r="W168" s="127">
        <v>4.2744455113464249E-10</v>
      </c>
      <c r="X168" s="128">
        <f t="shared" si="4"/>
        <v>9.3588891709887732E-10</v>
      </c>
      <c r="Y168" s="139">
        <f t="shared" si="5"/>
        <v>6.3621120364794423</v>
      </c>
      <c r="AA168" s="73"/>
      <c r="AB168" s="176"/>
      <c r="AC168" s="176"/>
      <c r="AD168" s="176"/>
      <c r="AJ168" s="135"/>
    </row>
    <row r="169" spans="1:36" x14ac:dyDescent="0.35">
      <c r="I169" s="109">
        <v>4.3973957334899998E-2</v>
      </c>
      <c r="J169" s="49">
        <v>7.5461673840833408E-10</v>
      </c>
      <c r="K169" s="49">
        <v>5.9608598934318125E-11</v>
      </c>
      <c r="L169" s="153">
        <v>6.3178004427789889E-10</v>
      </c>
      <c r="M169" s="32"/>
      <c r="R169" s="60">
        <v>1205.7474137492181</v>
      </c>
      <c r="S169" s="57">
        <v>2.3240068344164358E-6</v>
      </c>
      <c r="U169" s="127">
        <v>1.2103421618508767E-9</v>
      </c>
      <c r="V169" s="127">
        <v>6.3178004427789889E-10</v>
      </c>
      <c r="W169" s="127">
        <v>2.9974777295441227E-10</v>
      </c>
      <c r="X169" s="128">
        <f t="shared" si="4"/>
        <v>6.9341250584027166E-10</v>
      </c>
      <c r="Y169" s="139">
        <f t="shared" si="5"/>
        <v>1.0542535819842886</v>
      </c>
      <c r="AA169" s="73"/>
      <c r="AB169" s="176"/>
      <c r="AC169" s="176"/>
      <c r="AD169" s="176"/>
      <c r="AJ169" s="135"/>
    </row>
    <row r="170" spans="1:36" x14ac:dyDescent="0.35">
      <c r="I170" s="109">
        <v>4.4413696908199997E-2</v>
      </c>
      <c r="J170" s="49">
        <v>6.5921002825579473E-10</v>
      </c>
      <c r="K170" s="49">
        <v>5.8121728004372908E-11</v>
      </c>
      <c r="L170" s="153">
        <v>3.9578042780666485E-10</v>
      </c>
      <c r="M170" s="32"/>
      <c r="R170" s="60">
        <v>1206.0363092320879</v>
      </c>
      <c r="S170" s="57">
        <v>2.3240068344164358E-6</v>
      </c>
      <c r="U170" s="127">
        <v>9.0544819179942969E-10</v>
      </c>
      <c r="V170" s="127">
        <v>3.9578042780666485E-10</v>
      </c>
      <c r="W170" s="127">
        <v>3.2638340802026341E-10</v>
      </c>
      <c r="X170" s="128">
        <f t="shared" si="4"/>
        <v>5.0584811385825567E-10</v>
      </c>
      <c r="Y170" s="139">
        <f t="shared" si="5"/>
        <v>6.9623845507037831</v>
      </c>
      <c r="AA170" s="73"/>
      <c r="AB170" s="176"/>
      <c r="AC170" s="176"/>
      <c r="AD170" s="176"/>
      <c r="AJ170" s="135"/>
    </row>
    <row r="171" spans="1:36" x14ac:dyDescent="0.35">
      <c r="I171" s="109">
        <v>4.4857833877300003E-2</v>
      </c>
      <c r="J171" s="49">
        <v>5.101618168406745E-10</v>
      </c>
      <c r="K171" s="49">
        <v>4.7852029071754464E-11</v>
      </c>
      <c r="L171" s="153">
        <v>2.8605750038711807E-10</v>
      </c>
      <c r="M171" s="32"/>
      <c r="R171" s="60">
        <v>1206.0363092320879</v>
      </c>
      <c r="S171" s="57">
        <v>2.4447262762425861E-6</v>
      </c>
      <c r="U171" s="127">
        <v>6.0206572190564735E-10</v>
      </c>
      <c r="V171" s="127">
        <v>2.8605750038711807E-10</v>
      </c>
      <c r="W171" s="127">
        <v>5.0724324998277882E-10</v>
      </c>
      <c r="X171" s="128">
        <f t="shared" si="4"/>
        <v>4.203559931656656E-10</v>
      </c>
      <c r="Y171" s="139">
        <f t="shared" si="5"/>
        <v>3.5221535480357558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4.5306412216100003E-2</v>
      </c>
      <c r="J172" s="49">
        <v>4.1994445891745489E-10</v>
      </c>
      <c r="K172" s="49">
        <v>4.3663488270587721E-11</v>
      </c>
      <c r="L172" s="153">
        <v>3.351579070737621E-10</v>
      </c>
      <c r="M172" s="32"/>
      <c r="N172" s="18"/>
      <c r="O172" s="18"/>
      <c r="P172" s="30"/>
      <c r="Q172" s="65"/>
      <c r="R172" s="62">
        <v>1206.3414250917542</v>
      </c>
      <c r="S172" s="61">
        <v>2.4447262762425861E-6</v>
      </c>
      <c r="T172" s="75"/>
      <c r="U172" s="127">
        <v>3.7252903786335848E-10</v>
      </c>
      <c r="V172" s="127">
        <v>3.351579070737621E-10</v>
      </c>
      <c r="W172" s="127">
        <v>8.0263284935069975E-10</v>
      </c>
      <c r="X172" s="128">
        <f t="shared" si="4"/>
        <v>4.6136942534039563E-10</v>
      </c>
      <c r="Y172" s="139">
        <f t="shared" si="5"/>
        <v>0.90009318434944285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4.5759476338200003E-2</v>
      </c>
      <c r="J173" s="49">
        <v>5.7137006591167364E-10</v>
      </c>
      <c r="K173" s="49">
        <v>5.0850554811034216E-11</v>
      </c>
      <c r="L173" s="153">
        <v>5.3759577998297528E-10</v>
      </c>
      <c r="M173" s="32"/>
      <c r="R173" s="60">
        <v>1206.3414250917542</v>
      </c>
      <c r="S173" s="57">
        <v>2.5651500158927381E-6</v>
      </c>
      <c r="U173" s="127">
        <v>2.7569139550472717E-10</v>
      </c>
      <c r="V173" s="127">
        <v>5.3759577998297528E-10</v>
      </c>
      <c r="W173" s="127">
        <v>1.1405646336306148E-9</v>
      </c>
      <c r="X173" s="128">
        <f t="shared" si="4"/>
        <v>6.2286189727532315E-10</v>
      </c>
      <c r="Y173" s="139">
        <f t="shared" si="5"/>
        <v>1.0253810455211019</v>
      </c>
      <c r="AA173" s="73"/>
      <c r="AB173" s="176"/>
      <c r="AC173" s="176"/>
      <c r="AD173" s="176"/>
      <c r="AJ173" s="135"/>
    </row>
    <row r="174" spans="1:36" x14ac:dyDescent="0.35">
      <c r="I174" s="109">
        <v>4.6217071101599998E-2</v>
      </c>
      <c r="J174" s="49">
        <v>9.6138830161100104E-10</v>
      </c>
      <c r="K174" s="49">
        <v>6.5970604000925647E-11</v>
      </c>
      <c r="L174" s="153">
        <v>8.4823036373894553E-10</v>
      </c>
      <c r="M174" s="32"/>
      <c r="R174" s="60">
        <v>1206.6712799414418</v>
      </c>
      <c r="S174" s="57">
        <v>2.5651500158927381E-6</v>
      </c>
      <c r="U174" s="127">
        <v>3.4122273844668984E-10</v>
      </c>
      <c r="V174" s="127">
        <v>8.4823036373894553E-10</v>
      </c>
      <c r="W174" s="127">
        <v>1.4334648321314202E-9</v>
      </c>
      <c r="X174" s="128">
        <f t="shared" si="4"/>
        <v>8.6778707451400022E-10</v>
      </c>
      <c r="Y174" s="139">
        <f t="shared" si="5"/>
        <v>2.0130852370386698</v>
      </c>
      <c r="AA174" s="73"/>
      <c r="AB174" s="176"/>
      <c r="AC174" s="176"/>
      <c r="AD174" s="176"/>
      <c r="AJ174" s="135"/>
    </row>
    <row r="175" spans="1:36" x14ac:dyDescent="0.35">
      <c r="I175" s="109">
        <v>4.6679241812599997E-2</v>
      </c>
      <c r="J175" s="49">
        <v>9.7548452443511528E-10</v>
      </c>
      <c r="K175" s="49">
        <v>6.6260903842025361E-11</v>
      </c>
      <c r="L175" s="153">
        <v>1.1909678634810945E-9</v>
      </c>
      <c r="M175" s="32"/>
      <c r="R175" s="60">
        <v>1206.6712799414418</v>
      </c>
      <c r="S175" s="57">
        <v>2.6848762718115108E-6</v>
      </c>
      <c r="U175" s="127">
        <v>5.5975623710904319E-10</v>
      </c>
      <c r="V175" s="127">
        <v>1.1909678634810945E-9</v>
      </c>
      <c r="W175" s="127">
        <v>1.6007962500542398E-9</v>
      </c>
      <c r="X175" s="128">
        <f t="shared" si="4"/>
        <v>1.1356220535313681E-9</v>
      </c>
      <c r="Y175" s="139">
        <f t="shared" si="5"/>
        <v>5.8407892340123997</v>
      </c>
      <c r="AA175" s="73"/>
      <c r="AB175" s="176"/>
      <c r="AC175" s="176"/>
      <c r="AD175" s="176"/>
      <c r="AJ175" s="135"/>
    </row>
    <row r="176" spans="1:36" x14ac:dyDescent="0.35">
      <c r="I176" s="109">
        <v>4.71460342308E-2</v>
      </c>
      <c r="J176" s="49">
        <v>1.2736188246179309E-9</v>
      </c>
      <c r="K176" s="49">
        <v>7.8766866691547462E-11</v>
      </c>
      <c r="L176" s="153">
        <v>1.4766533013105745E-9</v>
      </c>
      <c r="M176" s="32"/>
      <c r="R176" s="60">
        <v>1207.0384613506983</v>
      </c>
      <c r="S176" s="57">
        <v>2.6848762718115108E-6</v>
      </c>
      <c r="U176" s="127">
        <v>8.8217435294605349E-10</v>
      </c>
      <c r="V176" s="127">
        <v>1.4766533013105745E-9</v>
      </c>
      <c r="W176" s="127">
        <v>1.5919515827651813E-9</v>
      </c>
      <c r="X176" s="128">
        <f t="shared" si="4"/>
        <v>1.3568581345830959E-9</v>
      </c>
      <c r="Y176" s="139">
        <f t="shared" si="5"/>
        <v>1.1167855940274469</v>
      </c>
      <c r="AA176" s="73"/>
      <c r="AB176" s="176"/>
      <c r="AC176" s="176"/>
      <c r="AD176" s="176"/>
      <c r="AJ176" s="135"/>
    </row>
    <row r="177" spans="9:36" x14ac:dyDescent="0.35">
      <c r="I177" s="109">
        <v>4.7617494573100001E-2</v>
      </c>
      <c r="J177" s="49">
        <v>1.2280376022439742E-9</v>
      </c>
      <c r="K177" s="49">
        <v>7.8007792045576646E-11</v>
      </c>
      <c r="L177" s="152">
        <v>1.6263078872764291E-9</v>
      </c>
      <c r="M177" s="33"/>
      <c r="R177" s="60">
        <v>1207.0384613506983</v>
      </c>
      <c r="S177" s="57">
        <v>2.803121015899125E-6</v>
      </c>
      <c r="U177" s="127">
        <v>1.2293211042799952E-9</v>
      </c>
      <c r="V177" s="127">
        <v>1.6263078872764291E-9</v>
      </c>
      <c r="W177" s="127">
        <v>1.4029167709098844E-9</v>
      </c>
      <c r="X177" s="128">
        <f t="shared" si="4"/>
        <v>1.4712134124356844E-9</v>
      </c>
      <c r="Y177" s="139">
        <f t="shared" si="5"/>
        <v>9.7177287308820492</v>
      </c>
      <c r="AA177" s="73"/>
      <c r="AB177" s="176"/>
      <c r="AC177" s="176"/>
      <c r="AD177" s="176"/>
      <c r="AJ177" s="135"/>
    </row>
    <row r="178" spans="9:36" x14ac:dyDescent="0.35">
      <c r="I178" s="109">
        <v>4.8093669518800002E-2</v>
      </c>
      <c r="J178" s="49">
        <v>1.3927077075923882E-9</v>
      </c>
      <c r="K178" s="49">
        <v>8.2073708154831786E-11</v>
      </c>
      <c r="L178" s="152">
        <v>1.5938316840646279E-9</v>
      </c>
      <c r="M178" s="33"/>
      <c r="R178" s="60">
        <v>1207.463683178717</v>
      </c>
      <c r="S178" s="57">
        <v>2.803121015899125E-6</v>
      </c>
      <c r="U178" s="127">
        <v>1.5107516059608468E-9</v>
      </c>
      <c r="V178" s="127">
        <v>1.5938316840646279E-9</v>
      </c>
      <c r="W178" s="127">
        <v>1.0811144426391E-9</v>
      </c>
      <c r="X178" s="128">
        <f t="shared" si="4"/>
        <v>1.4448823541823007E-9</v>
      </c>
      <c r="Y178" s="139">
        <f t="shared" si="5"/>
        <v>0.40412053638787082</v>
      </c>
      <c r="AA178" s="73"/>
      <c r="AB178" s="176"/>
      <c r="AC178" s="176"/>
      <c r="AD178" s="176"/>
      <c r="AJ178" s="135"/>
    </row>
    <row r="179" spans="9:36" x14ac:dyDescent="0.35">
      <c r="I179" s="109">
        <v>4.8574606213999998E-2</v>
      </c>
      <c r="J179" s="49">
        <v>1.3548344403355511E-9</v>
      </c>
      <c r="K179" s="49">
        <v>8.2678667292576399E-11</v>
      </c>
      <c r="L179" s="152">
        <v>1.3816304566799178E-9</v>
      </c>
      <c r="M179" s="33"/>
      <c r="R179" s="60">
        <v>1207.463683178717</v>
      </c>
      <c r="S179" s="57">
        <v>2.9183663411666309E-6</v>
      </c>
      <c r="U179" s="127">
        <v>1.6484295527729612E-9</v>
      </c>
      <c r="V179" s="127">
        <v>1.3816304566799178E-9</v>
      </c>
      <c r="W179" s="127">
        <v>7.1556435499123935E-10</v>
      </c>
      <c r="X179" s="128">
        <f t="shared" si="4"/>
        <v>1.281813705281009E-9</v>
      </c>
      <c r="Y179" s="139">
        <f t="shared" si="5"/>
        <v>0.78001951036174721</v>
      </c>
      <c r="AA179" s="73"/>
      <c r="AB179" s="176"/>
      <c r="AC179" s="176"/>
      <c r="AD179" s="176"/>
      <c r="AJ179" s="135"/>
    </row>
    <row r="180" spans="9:36" x14ac:dyDescent="0.35">
      <c r="I180" s="109">
        <v>4.9060352276099999E-2</v>
      </c>
      <c r="J180" s="49">
        <v>1.1633822043393378E-9</v>
      </c>
      <c r="K180" s="49">
        <v>7.7792773208993103E-11</v>
      </c>
      <c r="L180" s="152">
        <v>1.0437736846374376E-9</v>
      </c>
      <c r="M180" s="33"/>
      <c r="R180" s="60">
        <v>1207.9862058885838</v>
      </c>
      <c r="S180" s="57">
        <v>2.9183663411666309E-6</v>
      </c>
      <c r="U180" s="127">
        <v>1.5993248615480536E-9</v>
      </c>
      <c r="V180" s="127">
        <v>1.0437736846374376E-9</v>
      </c>
      <c r="W180" s="127">
        <v>4.1355344496947251E-10</v>
      </c>
      <c r="X180" s="128">
        <f t="shared" si="4"/>
        <v>1.0251064189481002E-9</v>
      </c>
      <c r="Y180" s="139">
        <f t="shared" si="5"/>
        <v>3.1594665388339322</v>
      </c>
      <c r="AA180" s="73"/>
      <c r="AB180" s="176"/>
      <c r="AC180" s="176"/>
      <c r="AD180" s="176"/>
      <c r="AJ180" s="135"/>
    </row>
    <row r="181" spans="9:36" x14ac:dyDescent="0.35">
      <c r="I181" s="109">
        <v>4.9550955798900002E-2</v>
      </c>
      <c r="J181" s="49">
        <v>8.3059881113379804E-10</v>
      </c>
      <c r="K181" s="49">
        <v>6.6432271183901905E-11</v>
      </c>
      <c r="L181" s="152">
        <v>6.7423759877166119E-10</v>
      </c>
      <c r="M181" s="33"/>
      <c r="R181" s="60">
        <v>1207.9862058885838</v>
      </c>
      <c r="S181" s="57">
        <v>3.0275673693087792E-6</v>
      </c>
      <c r="U181" s="127">
        <v>1.370337695452247E-9</v>
      </c>
      <c r="V181" s="127">
        <v>6.7423759877166119E-10</v>
      </c>
      <c r="W181" s="127">
        <v>2.6937522941438487E-10</v>
      </c>
      <c r="X181" s="128">
        <f t="shared" si="4"/>
        <v>7.470470306024886E-10</v>
      </c>
      <c r="Y181" s="139">
        <f t="shared" si="5"/>
        <v>1.5818059982200074</v>
      </c>
      <c r="AA181" s="73"/>
      <c r="AB181" s="176"/>
      <c r="AC181" s="176"/>
      <c r="AD181" s="176"/>
      <c r="AJ181" s="135"/>
    </row>
    <row r="182" spans="9:36" x14ac:dyDescent="0.35">
      <c r="I182" s="109">
        <v>5.0046465356900001E-2</v>
      </c>
      <c r="J182" s="49">
        <v>6.2910379006277997E-10</v>
      </c>
      <c r="K182" s="49">
        <v>5.7749209088045424E-11</v>
      </c>
      <c r="L182" s="152">
        <v>3.8197420675243268E-10</v>
      </c>
      <c r="M182" s="33"/>
      <c r="R182" s="60">
        <v>1208.6993830766073</v>
      </c>
      <c r="S182" s="57">
        <v>3.0275673693087792E-6</v>
      </c>
      <c r="U182" s="127">
        <v>1.0202886618421629E-9</v>
      </c>
      <c r="V182" s="127">
        <v>3.8197420675243268E-10</v>
      </c>
      <c r="W182" s="127">
        <v>3.3401914263368035E-10</v>
      </c>
      <c r="X182" s="128">
        <f t="shared" si="4"/>
        <v>5.295640544951772E-10</v>
      </c>
      <c r="Y182" s="139">
        <f t="shared" si="5"/>
        <v>2.9709879067447016</v>
      </c>
      <c r="AA182" s="73"/>
      <c r="AB182" s="176"/>
      <c r="AC182" s="176"/>
      <c r="AD182" s="176"/>
      <c r="AJ182" s="135"/>
    </row>
    <row r="183" spans="9:36" x14ac:dyDescent="0.35">
      <c r="I183" s="109">
        <v>5.0546930010399997E-2</v>
      </c>
      <c r="J183" s="49">
        <v>5.9553269068145279E-10</v>
      </c>
      <c r="K183" s="49">
        <v>5.6666600696785042E-11</v>
      </c>
      <c r="L183" s="152">
        <v>2.5889615462388805E-10</v>
      </c>
      <c r="M183" s="33"/>
      <c r="R183" s="60">
        <v>1208.6993830766073</v>
      </c>
      <c r="S183" s="57">
        <v>3.1240728746787833E-6</v>
      </c>
      <c r="U183" s="127">
        <v>6.4681572764511239E-10</v>
      </c>
      <c r="V183" s="127">
        <v>2.5889615462388805E-10</v>
      </c>
      <c r="W183" s="127">
        <v>5.956508138400403E-10</v>
      </c>
      <c r="X183" s="128">
        <f t="shared" si="4"/>
        <v>4.4006471268323217E-10</v>
      </c>
      <c r="Y183" s="139">
        <f t="shared" si="5"/>
        <v>7.527098136277182</v>
      </c>
      <c r="AA183" s="73"/>
      <c r="AB183" s="176"/>
      <c r="AC183" s="176"/>
      <c r="AD183" s="176"/>
      <c r="AJ183" s="135"/>
    </row>
    <row r="184" spans="9:36" x14ac:dyDescent="0.35">
      <c r="I184" s="109">
        <v>5.1052399310499999E-2</v>
      </c>
      <c r="J184" s="49">
        <v>5.8866058165273221E-10</v>
      </c>
      <c r="K184" s="49">
        <v>5.8308656156431179E-11</v>
      </c>
      <c r="L184" s="152">
        <v>3.4999527035641248E-10</v>
      </c>
      <c r="M184" s="33"/>
      <c r="R184" s="60">
        <v>1209.9809719519812</v>
      </c>
      <c r="S184" s="57">
        <v>3.1240728746787833E-6</v>
      </c>
      <c r="U184" s="127">
        <v>3.6029826397239953E-10</v>
      </c>
      <c r="V184" s="127">
        <v>3.4999527035641248E-10</v>
      </c>
      <c r="W184" s="127">
        <v>9.7854756397920609E-10</v>
      </c>
      <c r="X184" s="128">
        <f t="shared" si="4"/>
        <v>5.0970909216610765E-10</v>
      </c>
      <c r="Y184" s="139">
        <f t="shared" si="5"/>
        <v>1.8333888713730351</v>
      </c>
      <c r="AA184" s="73"/>
      <c r="AB184" s="176"/>
      <c r="AC184" s="176"/>
      <c r="AD184" s="176"/>
      <c r="AJ184" s="135"/>
    </row>
    <row r="185" spans="9:36" x14ac:dyDescent="0.35">
      <c r="I185" s="109">
        <v>5.1562923303600003E-2</v>
      </c>
      <c r="J185" s="49">
        <v>7.7607034852465885E-10</v>
      </c>
      <c r="K185" s="49">
        <v>7.1353777815676476E-11</v>
      </c>
      <c r="L185" s="152">
        <v>6.3543715821441318E-10</v>
      </c>
      <c r="M185" s="33"/>
      <c r="R185" s="60">
        <v>1209.9809719519812</v>
      </c>
      <c r="S185" s="57">
        <v>3.1907825106873794E-6</v>
      </c>
      <c r="U185" s="127">
        <v>2.5126720620854537E-10</v>
      </c>
      <c r="V185" s="127">
        <v>6.3543715821441318E-10</v>
      </c>
      <c r="W185" s="127">
        <v>1.363020583907401E-9</v>
      </c>
      <c r="X185" s="128">
        <f t="shared" si="4"/>
        <v>7.212905266361932E-10</v>
      </c>
      <c r="Y185" s="139">
        <f t="shared" si="5"/>
        <v>0.58939614131542539</v>
      </c>
      <c r="AA185" s="73"/>
      <c r="AB185" s="176"/>
      <c r="AC185" s="176"/>
      <c r="AD185" s="176"/>
      <c r="AJ185" s="135"/>
    </row>
    <row r="186" spans="9:36" x14ac:dyDescent="0.35">
      <c r="I186" s="109">
        <v>5.2078552536699997E-2</v>
      </c>
      <c r="J186" s="49">
        <v>1.0011672854871618E-9</v>
      </c>
      <c r="K186" s="49">
        <v>7.6812819019239713E-11</v>
      </c>
      <c r="L186" s="152">
        <v>1.0319084351437613E-9</v>
      </c>
      <c r="M186" s="33"/>
      <c r="R186" s="60">
        <v>1211.7020535400554</v>
      </c>
      <c r="S186" s="57">
        <v>3.1907825106873794E-6</v>
      </c>
      <c r="U186" s="127">
        <v>3.6075849498306246E-10</v>
      </c>
      <c r="V186" s="127">
        <v>1.0319084351437613E-9</v>
      </c>
      <c r="W186" s="127">
        <v>1.6220448707590748E-9</v>
      </c>
      <c r="X186" s="128">
        <f t="shared" si="4"/>
        <v>1.011655059007415E-9</v>
      </c>
      <c r="Y186" s="139">
        <f t="shared" si="5"/>
        <v>1.8642287133121001E-2</v>
      </c>
      <c r="AA186" s="73"/>
      <c r="AB186" s="176"/>
      <c r="AC186" s="176"/>
      <c r="AD186" s="176"/>
      <c r="AJ186" s="135"/>
    </row>
    <row r="187" spans="9:36" x14ac:dyDescent="0.35">
      <c r="I187" s="109">
        <v>5.2599338062100001E-2</v>
      </c>
      <c r="J187" s="49">
        <v>1.0749625010283668E-9</v>
      </c>
      <c r="K187" s="49">
        <v>8.4529193226587398E-11</v>
      </c>
      <c r="L187" s="152">
        <v>1.4150436155176095E-9</v>
      </c>
      <c r="M187" s="33"/>
      <c r="R187" s="60">
        <v>1211.7020535400554</v>
      </c>
      <c r="S187" s="57">
        <v>3.1999999999999999E-6</v>
      </c>
      <c r="U187" s="127">
        <v>6.6346440853652156E-10</v>
      </c>
      <c r="V187" s="127">
        <v>1.4150436155176095E-9</v>
      </c>
      <c r="W187" s="127">
        <v>1.6639482143053646E-9</v>
      </c>
      <c r="X187" s="128">
        <f t="shared" si="4"/>
        <v>1.2893749634692764E-9</v>
      </c>
      <c r="Y187" s="139">
        <f t="shared" si="5"/>
        <v>6.4340821432219082</v>
      </c>
      <c r="AA187" s="73"/>
      <c r="AB187" s="176"/>
      <c r="AC187" s="176"/>
      <c r="AD187" s="176"/>
      <c r="AJ187" s="135"/>
    </row>
    <row r="188" spans="9:36" x14ac:dyDescent="0.35">
      <c r="I188" s="109">
        <v>5.31253314427E-2</v>
      </c>
      <c r="J188" s="49">
        <v>1.1901160171413971E-9</v>
      </c>
      <c r="K188" s="49">
        <v>9.184680268608048E-11</v>
      </c>
      <c r="L188" s="152">
        <v>1.6578243227387172E-9</v>
      </c>
      <c r="M188" s="33"/>
      <c r="R188" s="60">
        <v>1221.9998563247163</v>
      </c>
      <c r="S188" s="57">
        <v>3.1999999999999999E-6</v>
      </c>
      <c r="U188" s="127">
        <v>1.0707079675246198E-9</v>
      </c>
      <c r="V188" s="127">
        <v>1.6578243227387172E-9</v>
      </c>
      <c r="W188" s="127">
        <v>1.4669247912763916E-9</v>
      </c>
      <c r="X188" s="128">
        <f t="shared" si="4"/>
        <v>1.4633203510696115E-9</v>
      </c>
      <c r="Y188" s="139">
        <f t="shared" si="5"/>
        <v>8.8480401322603175</v>
      </c>
      <c r="AA188" s="73"/>
      <c r="AB188" s="176"/>
      <c r="AC188" s="176"/>
      <c r="AD188" s="176"/>
      <c r="AJ188" s="135"/>
    </row>
    <row r="189" spans="9:36" x14ac:dyDescent="0.35">
      <c r="I189" s="109">
        <v>5.3656584757100001E-2</v>
      </c>
      <c r="J189" s="49">
        <v>1.4861276937226821E-9</v>
      </c>
      <c r="K189" s="49">
        <v>1.0338238481524511E-10</v>
      </c>
      <c r="L189" s="152">
        <v>1.673615473518618E-9</v>
      </c>
      <c r="M189" s="33"/>
      <c r="R189" s="60">
        <v>1221.9998563247163</v>
      </c>
      <c r="S189" s="57">
        <v>3.1955797322917716E-6</v>
      </c>
      <c r="U189" s="127">
        <v>1.4545989959315823E-9</v>
      </c>
      <c r="V189" s="127">
        <v>1.673615473518618E-9</v>
      </c>
      <c r="W189" s="127">
        <v>1.092109396929887E-9</v>
      </c>
      <c r="X189" s="128">
        <f t="shared" si="4"/>
        <v>1.4734848349746764E-9</v>
      </c>
      <c r="Y189" s="139">
        <f t="shared" si="5"/>
        <v>1.4955380921519098E-2</v>
      </c>
      <c r="AA189" s="73"/>
      <c r="AB189" s="176"/>
      <c r="AC189" s="176"/>
      <c r="AD189" s="176"/>
      <c r="AJ189" s="135"/>
    </row>
    <row r="190" spans="9:36" x14ac:dyDescent="0.35">
      <c r="I190" s="109">
        <v>5.4193150604700001E-2</v>
      </c>
      <c r="J190" s="49">
        <v>1.192792771068983E-9</v>
      </c>
      <c r="K190" s="49">
        <v>9.264024570107041E-11</v>
      </c>
      <c r="L190" s="152">
        <v>1.4493190894454776E-9</v>
      </c>
      <c r="M190" s="33"/>
      <c r="R190" s="60">
        <v>1223.7209379127905</v>
      </c>
      <c r="S190" s="57">
        <v>3.1955797322917716E-6</v>
      </c>
      <c r="U190" s="127">
        <v>1.6877053005343447E-9</v>
      </c>
      <c r="V190" s="127">
        <v>1.4493190894454776E-9</v>
      </c>
      <c r="W190" s="127">
        <v>6.6792959935450926E-10</v>
      </c>
      <c r="X190" s="128">
        <f t="shared" si="4"/>
        <v>1.3135682696949523E-9</v>
      </c>
      <c r="Y190" s="139">
        <f t="shared" si="5"/>
        <v>1.6996452382458811</v>
      </c>
      <c r="AA190" s="73"/>
      <c r="AB190" s="176"/>
      <c r="AC190" s="176"/>
      <c r="AD190" s="176"/>
      <c r="AJ190" s="135"/>
    </row>
    <row r="191" spans="9:36" x14ac:dyDescent="0.35">
      <c r="I191" s="109">
        <v>5.4735082110700002E-2</v>
      </c>
      <c r="J191" s="49">
        <v>9.9820584034966836E-10</v>
      </c>
      <c r="K191" s="49">
        <v>8.69073177974936E-11</v>
      </c>
      <c r="L191" s="152">
        <v>1.0556629114658734E-9</v>
      </c>
      <c r="M191" s="33"/>
      <c r="R191" s="60">
        <v>1223.7209379127905</v>
      </c>
      <c r="S191" s="57">
        <v>3.1635889764714504E-6</v>
      </c>
      <c r="U191" s="127">
        <v>1.6864290209765112E-9</v>
      </c>
      <c r="V191" s="127">
        <v>1.0556629114658734E-9</v>
      </c>
      <c r="W191" s="127">
        <v>3.4812695286843337E-10</v>
      </c>
      <c r="X191" s="128">
        <f t="shared" si="4"/>
        <v>1.0364704491941728E-9</v>
      </c>
      <c r="Y191" s="139">
        <f t="shared" si="5"/>
        <v>0.19385716763168973</v>
      </c>
      <c r="AA191" s="73"/>
      <c r="AB191" s="176"/>
      <c r="AC191" s="176"/>
      <c r="AD191" s="176"/>
      <c r="AJ191" s="135"/>
    </row>
    <row r="192" spans="9:36" x14ac:dyDescent="0.35">
      <c r="I192" s="109">
        <v>5.5282432931799998E-2</v>
      </c>
      <c r="J192" s="49">
        <v>8.4033653735238905E-10</v>
      </c>
      <c r="K192" s="49">
        <v>8.4221485706296714E-11</v>
      </c>
      <c r="L192" s="152">
        <v>6.281791787864834E-10</v>
      </c>
      <c r="M192" s="33"/>
      <c r="R192" s="60">
        <v>1225.0025267881645</v>
      </c>
      <c r="S192" s="57">
        <v>3.1635889764714504E-6</v>
      </c>
      <c r="U192" s="127">
        <v>1.4433532637504895E-9</v>
      </c>
      <c r="V192" s="127">
        <v>6.281791787864834E-10</v>
      </c>
      <c r="W192" s="127">
        <v>2.5618499670126667E-10</v>
      </c>
      <c r="X192" s="128">
        <f t="shared" si="4"/>
        <v>7.3897415450618081E-10</v>
      </c>
      <c r="Y192" s="139">
        <f t="shared" si="5"/>
        <v>1.4484644021310575</v>
      </c>
      <c r="AA192" s="73"/>
      <c r="AB192" s="176"/>
      <c r="AC192" s="176"/>
      <c r="AD192" s="176"/>
      <c r="AJ192" s="135"/>
    </row>
    <row r="193" spans="9:36" x14ac:dyDescent="0.35">
      <c r="I193" s="109">
        <v>5.5835257261100002E-2</v>
      </c>
      <c r="J193" s="49">
        <v>7.2440636586919686E-10</v>
      </c>
      <c r="K193" s="49">
        <v>8.0581067180789108E-11</v>
      </c>
      <c r="L193" s="152">
        <v>3.2244071901832131E-10</v>
      </c>
      <c r="M193" s="33"/>
      <c r="R193" s="60">
        <v>1225.0025267881645</v>
      </c>
      <c r="S193" s="57">
        <v>3.1173095445583358E-6</v>
      </c>
      <c r="U193" s="127">
        <v>1.0357342137969274E-9</v>
      </c>
      <c r="V193" s="127">
        <v>3.2244071901832131E-10</v>
      </c>
      <c r="W193" s="127">
        <v>4.3596687883604728E-10</v>
      </c>
      <c r="X193" s="128">
        <f t="shared" si="4"/>
        <v>5.2914563266740431E-10</v>
      </c>
      <c r="Y193" s="139">
        <f t="shared" si="5"/>
        <v>5.8716992405585193</v>
      </c>
      <c r="AA193" s="73"/>
      <c r="AB193" s="176"/>
      <c r="AC193" s="176"/>
      <c r="AD193" s="176"/>
      <c r="AJ193" s="135"/>
    </row>
    <row r="194" spans="9:36" x14ac:dyDescent="0.35">
      <c r="I194" s="109">
        <v>5.6393609833799999E-2</v>
      </c>
      <c r="J194" s="49">
        <v>6.863154496369721E-10</v>
      </c>
      <c r="K194" s="49">
        <v>7.3205505296738063E-11</v>
      </c>
      <c r="L194" s="152">
        <v>2.5741202010480797E-10</v>
      </c>
      <c r="M194" s="33"/>
      <c r="R194" s="60">
        <v>1225.715703976188</v>
      </c>
      <c r="S194" s="57">
        <v>3.1173095445583358E-6</v>
      </c>
      <c r="U194" s="127">
        <v>6.0422740144779736E-10</v>
      </c>
      <c r="V194" s="127">
        <v>2.5741202010480797E-10</v>
      </c>
      <c r="W194" s="127">
        <v>8.2867086556763131E-10</v>
      </c>
      <c r="X194" s="128">
        <f t="shared" si="4"/>
        <v>4.8693057680626113E-10</v>
      </c>
      <c r="Y194" s="139">
        <f t="shared" si="5"/>
        <v>7.4181724641025228</v>
      </c>
      <c r="AA194" s="73"/>
      <c r="AB194" s="176"/>
      <c r="AC194" s="176"/>
      <c r="AD194" s="176"/>
      <c r="AJ194" s="135"/>
    </row>
    <row r="195" spans="9:36" x14ac:dyDescent="0.35">
      <c r="I195" s="109">
        <v>5.69575459321E-2</v>
      </c>
      <c r="J195" s="49">
        <v>8.1790490939540417E-10</v>
      </c>
      <c r="K195" s="49">
        <v>8.4541678036049215E-11</v>
      </c>
      <c r="L195" s="152">
        <v>4.6733236767559569E-10</v>
      </c>
      <c r="M195" s="33"/>
      <c r="R195" s="60">
        <v>1225.715703976188</v>
      </c>
      <c r="S195" s="57">
        <v>3.0649419461775965E-6</v>
      </c>
      <c r="U195" s="127">
        <v>3.0618646459269071E-10</v>
      </c>
      <c r="V195" s="127">
        <v>4.6733236767559569E-10</v>
      </c>
      <c r="W195" s="127">
        <v>1.2883803495019609E-9</v>
      </c>
      <c r="X195" s="128">
        <f t="shared" ref="X195:X254" si="6">(U195+2*V195+W195)/4</f>
        <v>6.323078873614607E-10</v>
      </c>
      <c r="Y195" s="139">
        <f t="shared" ref="Y195:Y254" si="7">(J195-X195)*(J195-X195)/(K195*K195)</f>
        <v>4.8194810793186758</v>
      </c>
      <c r="AA195" s="73"/>
      <c r="AB195" s="176"/>
      <c r="AC195" s="176"/>
      <c r="AD195" s="176"/>
      <c r="AJ195" s="135"/>
    </row>
    <row r="196" spans="9:36" x14ac:dyDescent="0.35">
      <c r="I196" s="109">
        <v>5.7527121391400003E-2</v>
      </c>
      <c r="J196" s="49">
        <v>1.0086460301967802E-9</v>
      </c>
      <c r="K196" s="49">
        <v>9.5220934820083666E-11</v>
      </c>
      <c r="L196" s="152">
        <v>8.8201983391480543E-10</v>
      </c>
      <c r="M196" s="33"/>
      <c r="R196" s="60">
        <v>1226.2382266860548</v>
      </c>
      <c r="S196" s="57">
        <v>3.0649419461775965E-6</v>
      </c>
      <c r="U196" s="127">
        <v>2.581460596231511E-10</v>
      </c>
      <c r="V196" s="127">
        <v>8.8201983391480543E-10</v>
      </c>
      <c r="W196" s="127">
        <v>1.6343392164657532E-9</v>
      </c>
      <c r="X196" s="128">
        <f t="shared" si="6"/>
        <v>9.1413123597962881E-10</v>
      </c>
      <c r="Y196" s="139">
        <f t="shared" si="7"/>
        <v>0.98522336918681008</v>
      </c>
      <c r="AA196" s="73"/>
      <c r="AB196" s="176"/>
      <c r="AC196" s="176"/>
      <c r="AD196" s="176"/>
      <c r="AJ196" s="135"/>
    </row>
    <row r="197" spans="9:36" x14ac:dyDescent="0.35">
      <c r="I197" s="109">
        <v>5.81023926053E-2</v>
      </c>
      <c r="J197" s="49">
        <v>1.0350527693483998E-9</v>
      </c>
      <c r="K197" s="49">
        <v>9.9450897495361851E-11</v>
      </c>
      <c r="L197" s="152">
        <v>1.3467787245904993E-9</v>
      </c>
      <c r="M197" s="33"/>
      <c r="R197" s="60">
        <v>1226.2382266860548</v>
      </c>
      <c r="S197" s="57">
        <v>3.0096757915310445E-6</v>
      </c>
      <c r="U197" s="127">
        <v>4.8834770713857237E-10</v>
      </c>
      <c r="V197" s="127">
        <v>1.3467787245904993E-9</v>
      </c>
      <c r="W197" s="127">
        <v>1.7225284962205516E-9</v>
      </c>
      <c r="X197" s="128">
        <f t="shared" si="6"/>
        <v>1.2261084131350306E-9</v>
      </c>
      <c r="Y197" s="139">
        <f t="shared" si="7"/>
        <v>3.6906454778185345</v>
      </c>
      <c r="AA197" s="73"/>
      <c r="AB197" s="176"/>
      <c r="AC197" s="176"/>
      <c r="AD197" s="176"/>
      <c r="AJ197" s="135"/>
    </row>
    <row r="198" spans="9:36" x14ac:dyDescent="0.35">
      <c r="I198" s="109">
        <v>5.8683416531400003E-2</v>
      </c>
      <c r="J198" s="49">
        <v>1.0965607769113789E-9</v>
      </c>
      <c r="K198" s="49">
        <v>1.0561223040707064E-10</v>
      </c>
      <c r="L198" s="152">
        <v>1.6789825176586785E-9</v>
      </c>
      <c r="M198" s="33"/>
      <c r="R198" s="60">
        <v>1226.6634485140735</v>
      </c>
      <c r="S198" s="57">
        <v>3.0096757915310445E-6</v>
      </c>
      <c r="U198" s="127">
        <v>9.1923501133859746E-10</v>
      </c>
      <c r="V198" s="127">
        <v>1.6789825176586785E-9</v>
      </c>
      <c r="W198" s="127">
        <v>1.5088031305775992E-9</v>
      </c>
      <c r="X198" s="128">
        <f t="shared" si="6"/>
        <v>1.4465007943083883E-9</v>
      </c>
      <c r="Y198" s="139">
        <f t="shared" si="7"/>
        <v>10.978898982464354</v>
      </c>
      <c r="AA198" s="73"/>
      <c r="AB198" s="176"/>
      <c r="AC198" s="176"/>
      <c r="AD198" s="176"/>
      <c r="AJ198" s="135"/>
    </row>
    <row r="199" spans="9:36" x14ac:dyDescent="0.35">
      <c r="I199" s="109">
        <v>5.92702506967E-2</v>
      </c>
      <c r="J199" s="49">
        <v>1.3911945734756635E-9</v>
      </c>
      <c r="K199" s="49">
        <v>1.1884734471818889E-10</v>
      </c>
      <c r="L199" s="152">
        <v>1.7386513095204363E-9</v>
      </c>
      <c r="M199" s="33"/>
      <c r="R199" s="60">
        <v>1226.6634485140735</v>
      </c>
      <c r="S199" s="57">
        <v>2.9529712588507015E-6</v>
      </c>
      <c r="U199" s="127">
        <v>1.3899966256597923E-9</v>
      </c>
      <c r="V199" s="127">
        <v>1.7386513095204363E-9</v>
      </c>
      <c r="W199" s="127">
        <v>1.0739339974834828E-9</v>
      </c>
      <c r="X199" s="128">
        <f t="shared" si="6"/>
        <v>1.4853083105460371E-9</v>
      </c>
      <c r="Y199" s="139">
        <f t="shared" si="7"/>
        <v>0.62708595097945619</v>
      </c>
      <c r="AA199" s="73"/>
      <c r="AB199" s="176"/>
      <c r="AC199" s="176"/>
      <c r="AD199" s="176"/>
      <c r="AJ199" s="135"/>
    </row>
    <row r="200" spans="9:36" x14ac:dyDescent="0.35">
      <c r="I200" s="109">
        <v>5.9862953203699998E-2</v>
      </c>
      <c r="J200" s="49">
        <v>1.3730420808580479E-9</v>
      </c>
      <c r="K200" s="49">
        <v>1.1869595120378596E-10</v>
      </c>
      <c r="L200" s="152">
        <v>1.493370383223199E-9</v>
      </c>
      <c r="M200" s="33"/>
      <c r="R200" s="60">
        <v>1227.03062992333</v>
      </c>
      <c r="S200" s="57">
        <v>2.9529712588507015E-6</v>
      </c>
      <c r="U200" s="127">
        <v>1.7146743865551759E-9</v>
      </c>
      <c r="V200" s="127">
        <v>1.493370383223199E-9</v>
      </c>
      <c r="W200" s="127">
        <v>6.0007467972151356E-10</v>
      </c>
      <c r="X200" s="128">
        <f t="shared" si="6"/>
        <v>1.3253724581807719E-9</v>
      </c>
      <c r="Y200" s="139">
        <f t="shared" si="7"/>
        <v>0.16129155108762325</v>
      </c>
      <c r="AA200" s="73"/>
      <c r="AB200" s="176"/>
      <c r="AC200" s="176"/>
      <c r="AD200" s="176"/>
      <c r="AJ200" s="135"/>
    </row>
    <row r="201" spans="9:36" x14ac:dyDescent="0.35">
      <c r="I201" s="109">
        <v>6.0461582735700001E-2</v>
      </c>
      <c r="J201" s="49">
        <v>1.0948303710907125E-9</v>
      </c>
      <c r="K201" s="49">
        <v>1.1632899299006537E-10</v>
      </c>
      <c r="L201" s="152">
        <v>1.038043441760143E-9</v>
      </c>
      <c r="M201" s="33"/>
      <c r="R201" s="60">
        <v>1227.03062992333</v>
      </c>
      <c r="S201" s="57">
        <v>2.8955562638433061E-6</v>
      </c>
      <c r="U201" s="127">
        <v>1.7571995232969256E-9</v>
      </c>
      <c r="V201" s="127">
        <v>1.038043441760143E-9</v>
      </c>
      <c r="W201" s="127">
        <v>2.958671028924243E-10</v>
      </c>
      <c r="X201" s="128">
        <f t="shared" si="6"/>
        <v>1.0322883774274089E-9</v>
      </c>
      <c r="Y201" s="139">
        <f t="shared" si="7"/>
        <v>0.28904636039891496</v>
      </c>
      <c r="AA201" s="73"/>
      <c r="AB201" s="176"/>
      <c r="AC201" s="176"/>
      <c r="AD201" s="176"/>
      <c r="AJ201" s="135"/>
    </row>
    <row r="202" spans="9:36" x14ac:dyDescent="0.35">
      <c r="I202" s="109">
        <v>6.1066198563099999E-2</v>
      </c>
      <c r="J202" s="49">
        <v>1.0651358585429574E-9</v>
      </c>
      <c r="K202" s="49">
        <v>1.1356666162905955E-10</v>
      </c>
      <c r="L202" s="152">
        <v>5.6362803197860233E-10</v>
      </c>
      <c r="M202" s="33"/>
      <c r="R202" s="60">
        <v>1227.3604847730176</v>
      </c>
      <c r="S202" s="57">
        <v>2.8955562638433061E-6</v>
      </c>
      <c r="U202" s="127">
        <v>1.4916446142368829E-9</v>
      </c>
      <c r="V202" s="127">
        <v>5.6362803197860233E-10</v>
      </c>
      <c r="W202" s="127">
        <v>3.04940753929894E-10</v>
      </c>
      <c r="X202" s="128">
        <f t="shared" si="6"/>
        <v>7.3096035803099538E-10</v>
      </c>
      <c r="Y202" s="139">
        <f t="shared" si="7"/>
        <v>8.6585963742264855</v>
      </c>
      <c r="AA202" s="73"/>
      <c r="AB202" s="176"/>
      <c r="AC202" s="176"/>
      <c r="AD202" s="176"/>
      <c r="AJ202" s="135"/>
    </row>
    <row r="203" spans="9:36" x14ac:dyDescent="0.35">
      <c r="I203" s="109">
        <v>6.1676860548700002E-2</v>
      </c>
      <c r="J203" s="49">
        <v>6.205954317231775E-10</v>
      </c>
      <c r="K203" s="49">
        <v>9.2219337232373857E-11</v>
      </c>
      <c r="L203" s="152">
        <v>2.7980761188987101E-10</v>
      </c>
      <c r="M203" s="33"/>
      <c r="R203" s="60">
        <v>1227.3604847730176</v>
      </c>
      <c r="S203" s="57">
        <v>2.8378067889455338E-6</v>
      </c>
      <c r="U203" s="127">
        <v>1.0214415482565601E-9</v>
      </c>
      <c r="V203" s="127">
        <v>2.7980761188987101E-10</v>
      </c>
      <c r="W203" s="127">
        <v>6.3523065905747229E-10</v>
      </c>
      <c r="X203" s="128">
        <f t="shared" si="6"/>
        <v>5.5407185777344356E-10</v>
      </c>
      <c r="Y203" s="139">
        <f t="shared" si="7"/>
        <v>0.5203638923173397</v>
      </c>
      <c r="AA203" s="73"/>
      <c r="AB203" s="176"/>
      <c r="AC203" s="176"/>
      <c r="AD203" s="176"/>
      <c r="AJ203" s="135"/>
    </row>
    <row r="204" spans="9:36" x14ac:dyDescent="0.35">
      <c r="I204" s="109">
        <v>6.2293629154200003E-2</v>
      </c>
      <c r="J204" s="49">
        <v>7.1870127971163949E-10</v>
      </c>
      <c r="K204" s="49">
        <v>9.2950436549214044E-11</v>
      </c>
      <c r="L204" s="152">
        <v>3.2190790944478508E-10</v>
      </c>
      <c r="M204" s="33"/>
      <c r="R204" s="60">
        <v>1227.6656006326839</v>
      </c>
      <c r="S204" s="57">
        <v>2.8378067889455338E-6</v>
      </c>
      <c r="U204" s="127">
        <v>5.4413182946047677E-10</v>
      </c>
      <c r="V204" s="127">
        <v>3.2190790944478508E-10</v>
      </c>
      <c r="W204" s="127">
        <v>1.1454034588547239E-9</v>
      </c>
      <c r="X204" s="128">
        <f t="shared" si="6"/>
        <v>5.833377768011927E-10</v>
      </c>
      <c r="Y204" s="139">
        <f t="shared" si="7"/>
        <v>2.1208028641135135</v>
      </c>
      <c r="AA204" s="73"/>
      <c r="AB204" s="176"/>
      <c r="AC204" s="176"/>
      <c r="AD204" s="176"/>
      <c r="AJ204" s="135"/>
    </row>
    <row r="205" spans="9:36" x14ac:dyDescent="0.35">
      <c r="I205" s="109">
        <v>6.2916565445699998E-2</v>
      </c>
      <c r="J205" s="49">
        <v>8.1632910221638789E-10</v>
      </c>
      <c r="K205" s="49">
        <v>1.0652986540516086E-10</v>
      </c>
      <c r="L205" s="152">
        <v>6.8334772512431886E-10</v>
      </c>
      <c r="M205" s="33"/>
      <c r="R205" s="60">
        <v>1227.6656006326839</v>
      </c>
      <c r="S205" s="57">
        <v>2.7799155094049263E-6</v>
      </c>
      <c r="U205" s="127">
        <v>2.7105264940013909E-10</v>
      </c>
      <c r="V205" s="127">
        <v>6.8334772512431886E-10</v>
      </c>
      <c r="W205" s="127">
        <v>1.6013850518281778E-9</v>
      </c>
      <c r="X205" s="128">
        <f t="shared" si="6"/>
        <v>8.0978328786923862E-10</v>
      </c>
      <c r="Y205" s="139">
        <f t="shared" si="7"/>
        <v>3.7755881181307902E-3</v>
      </c>
      <c r="AA205" s="73"/>
      <c r="AB205" s="176"/>
      <c r="AC205" s="176"/>
      <c r="AD205" s="176"/>
      <c r="AJ205" s="135"/>
    </row>
    <row r="206" spans="9:36" x14ac:dyDescent="0.35">
      <c r="I206" s="109">
        <v>6.3545731100199995E-2</v>
      </c>
      <c r="J206" s="49">
        <v>1.1653158064606437E-9</v>
      </c>
      <c r="K206" s="49">
        <v>1.3188258380528764E-10</v>
      </c>
      <c r="L206" s="152">
        <v>1.2084026777564089E-9</v>
      </c>
      <c r="M206" s="33"/>
      <c r="R206" s="60">
        <v>1227.9544961155536</v>
      </c>
      <c r="S206" s="57">
        <v>2.7799155094049263E-6</v>
      </c>
      <c r="U206" s="127">
        <v>3.3322012413098308E-10</v>
      </c>
      <c r="V206" s="127">
        <v>1.2084026777564089E-9</v>
      </c>
      <c r="W206" s="127">
        <v>1.7832453816950115E-9</v>
      </c>
      <c r="X206" s="128">
        <f t="shared" si="6"/>
        <v>1.1333177153347032E-9</v>
      </c>
      <c r="Y206" s="139">
        <f t="shared" si="7"/>
        <v>5.8867182145628465E-2</v>
      </c>
      <c r="AA206" s="73"/>
      <c r="AB206" s="176"/>
      <c r="AC206" s="176"/>
      <c r="AD206" s="176"/>
      <c r="AJ206" s="135"/>
    </row>
    <row r="207" spans="9:36" x14ac:dyDescent="0.35">
      <c r="I207" s="109">
        <v>6.4181188411200005E-2</v>
      </c>
      <c r="J207" s="49">
        <v>1.1350899339116068E-9</v>
      </c>
      <c r="K207" s="49">
        <v>1.3234375251620731E-10</v>
      </c>
      <c r="L207" s="152">
        <v>1.6555936664882451E-9</v>
      </c>
      <c r="M207" s="33"/>
      <c r="R207" s="60">
        <v>1227.9544961155536</v>
      </c>
      <c r="S207" s="57">
        <v>2.7219751092359035E-6</v>
      </c>
      <c r="U207" s="127">
        <v>7.1537018121972792E-10</v>
      </c>
      <c r="V207" s="127">
        <v>1.6555936664882451E-9</v>
      </c>
      <c r="W207" s="127">
        <v>1.5948917273712656E-9</v>
      </c>
      <c r="X207" s="128">
        <f t="shared" si="6"/>
        <v>1.405362310391871E-9</v>
      </c>
      <c r="Y207" s="139">
        <f t="shared" si="7"/>
        <v>4.1705797626571783</v>
      </c>
      <c r="AA207" s="73"/>
      <c r="AB207" s="176"/>
      <c r="AC207" s="176"/>
      <c r="AD207" s="176"/>
      <c r="AJ207" s="135"/>
    </row>
    <row r="208" spans="9:36" x14ac:dyDescent="0.35">
      <c r="I208" s="109">
        <v>6.4823000295299998E-2</v>
      </c>
      <c r="J208" s="49">
        <v>1.3214611092669487E-9</v>
      </c>
      <c r="K208" s="49">
        <v>1.4290102945934581E-10</v>
      </c>
      <c r="L208" s="152">
        <v>1.8086633800127899E-9</v>
      </c>
      <c r="M208" s="33"/>
      <c r="R208" s="60">
        <v>1228.2335139411859</v>
      </c>
      <c r="S208" s="57">
        <v>2.7219751092359035E-6</v>
      </c>
      <c r="U208" s="127">
        <v>1.2524605680500688E-9</v>
      </c>
      <c r="V208" s="127">
        <v>1.8086633800127899E-9</v>
      </c>
      <c r="W208" s="127">
        <v>1.1212960398087141E-9</v>
      </c>
      <c r="X208" s="128">
        <f t="shared" si="6"/>
        <v>1.4977708419710907E-9</v>
      </c>
      <c r="Y208" s="139">
        <f t="shared" si="7"/>
        <v>1.5222355463597583</v>
      </c>
      <c r="AA208" s="73"/>
      <c r="AB208" s="176"/>
      <c r="AC208" s="176"/>
      <c r="AD208" s="176"/>
      <c r="AJ208" s="135"/>
    </row>
    <row r="209" spans="9:36" x14ac:dyDescent="0.35">
      <c r="I209" s="109">
        <v>6.5471230298199998E-2</v>
      </c>
      <c r="J209" s="49">
        <v>1.3593010946813536E-9</v>
      </c>
      <c r="K209" s="49">
        <v>1.4771124379187386E-10</v>
      </c>
      <c r="L209" s="152">
        <v>1.5852473490561806E-9</v>
      </c>
      <c r="M209" s="33"/>
      <c r="R209" s="60">
        <v>1228.2335139411859</v>
      </c>
      <c r="S209" s="57">
        <v>2.6640233742936279E-6</v>
      </c>
      <c r="U209" s="127">
        <v>1.6973929176237021E-9</v>
      </c>
      <c r="V209" s="127">
        <v>1.5852473490561806E-9</v>
      </c>
      <c r="W209" s="127">
        <v>5.9783055338454975E-10</v>
      </c>
      <c r="X209" s="128">
        <f t="shared" si="6"/>
        <v>1.3664295422801532E-9</v>
      </c>
      <c r="Y209" s="139">
        <f t="shared" si="7"/>
        <v>2.3289641996582676E-3</v>
      </c>
      <c r="AA209" s="73"/>
      <c r="AB209" s="176"/>
      <c r="AC209" s="176"/>
      <c r="AD209" s="176"/>
      <c r="AJ209" s="135"/>
    </row>
    <row r="210" spans="9:36" x14ac:dyDescent="0.35">
      <c r="I210" s="109">
        <v>6.61259426012E-2</v>
      </c>
      <c r="J210" s="49">
        <v>1.1041746051086631E-9</v>
      </c>
      <c r="K210" s="49">
        <v>1.3500187566825254E-10</v>
      </c>
      <c r="L210" s="153">
        <v>1.0879064791068776E-9</v>
      </c>
      <c r="M210" s="18"/>
      <c r="R210" s="60">
        <v>1228.5078447399153</v>
      </c>
      <c r="S210" s="57">
        <v>2.6640233742936279E-6</v>
      </c>
      <c r="U210" s="127">
        <v>1.8348929492973061E-9</v>
      </c>
      <c r="V210" s="127">
        <v>1.0879064791068776E-9</v>
      </c>
      <c r="W210" s="127">
        <v>2.9797572683149789E-10</v>
      </c>
      <c r="X210" s="128">
        <f t="shared" si="6"/>
        <v>1.0771704085856397E-9</v>
      </c>
      <c r="Y210" s="139">
        <f t="shared" si="7"/>
        <v>4.0011323279106711E-2</v>
      </c>
      <c r="AA210" s="73"/>
      <c r="AB210" s="176"/>
      <c r="AC210" s="176"/>
      <c r="AD210" s="176"/>
      <c r="AJ210" s="135"/>
    </row>
    <row r="211" spans="9:36" x14ac:dyDescent="0.35">
      <c r="I211" s="49">
        <v>6.6787202027199996E-2</v>
      </c>
      <c r="J211" s="49">
        <v>1.0042083336900728E-9</v>
      </c>
      <c r="K211" s="49">
        <v>1.3182837734854885E-10</v>
      </c>
      <c r="L211" s="153">
        <v>5.6470870705830115E-10</v>
      </c>
      <c r="M211" s="18"/>
      <c r="R211" s="60">
        <v>1228.5078447399153</v>
      </c>
      <c r="S211" s="57">
        <v>2.6060703763248736E-6</v>
      </c>
      <c r="U211" s="127">
        <v>1.5900904991731753E-9</v>
      </c>
      <c r="V211" s="127">
        <v>5.6470870705830115E-10</v>
      </c>
      <c r="W211" s="127">
        <v>3.9044147283829184E-10</v>
      </c>
      <c r="X211" s="128">
        <f t="shared" si="6"/>
        <v>7.7748734653201732E-10</v>
      </c>
      <c r="Y211" s="139">
        <f t="shared" si="7"/>
        <v>2.9577784117719719</v>
      </c>
      <c r="AA211" s="73"/>
      <c r="AB211" s="176"/>
      <c r="AC211" s="176"/>
      <c r="AD211" s="176"/>
      <c r="AJ211" s="135"/>
    </row>
    <row r="212" spans="9:36" x14ac:dyDescent="0.35">
      <c r="I212" s="49">
        <v>6.7455074047499994E-2</v>
      </c>
      <c r="J212" s="49">
        <v>9.5337092005721272E-10</v>
      </c>
      <c r="K212" s="49">
        <v>1.2963822361785206E-10</v>
      </c>
      <c r="L212" s="153">
        <v>2.8994483191219026E-10</v>
      </c>
      <c r="M212" s="18"/>
      <c r="R212" s="60">
        <v>1228.7821755386447</v>
      </c>
      <c r="S212" s="57">
        <v>2.6060703763248736E-6</v>
      </c>
      <c r="U212" s="127">
        <v>1.0762122289186633E-9</v>
      </c>
      <c r="V212" s="127">
        <v>2.8994483191219026E-10</v>
      </c>
      <c r="W212" s="127">
        <v>8.4032194600119546E-10</v>
      </c>
      <c r="X212" s="128">
        <f t="shared" si="6"/>
        <v>6.2410595968605986E-10</v>
      </c>
      <c r="Y212" s="139">
        <f t="shared" si="7"/>
        <v>6.450968039056904</v>
      </c>
      <c r="AA212" s="73"/>
      <c r="AB212" s="176"/>
      <c r="AC212" s="176"/>
      <c r="AD212" s="176"/>
      <c r="AJ212" s="135"/>
    </row>
    <row r="213" spans="9:36" x14ac:dyDescent="0.35">
      <c r="I213" s="49">
        <v>6.8129624787999998E-2</v>
      </c>
      <c r="J213" s="49">
        <v>1.0761291211256868E-9</v>
      </c>
      <c r="K213" s="49">
        <v>1.4118961385277656E-10</v>
      </c>
      <c r="L213" s="153">
        <v>4.1997489714007727E-10</v>
      </c>
      <c r="M213" s="18"/>
      <c r="R213" s="60">
        <v>1228.7821755386447</v>
      </c>
      <c r="S213" s="57">
        <v>2.548118641382598E-6</v>
      </c>
      <c r="U213" s="127">
        <v>5.4995005117230948E-10</v>
      </c>
      <c r="V213" s="127">
        <v>4.1997489714007727E-10</v>
      </c>
      <c r="W213" s="127">
        <v>1.4141571119525232E-9</v>
      </c>
      <c r="X213" s="128">
        <f t="shared" si="6"/>
        <v>7.010142393512468E-10</v>
      </c>
      <c r="Y213" s="139">
        <f t="shared" si="7"/>
        <v>7.0586733901101599</v>
      </c>
      <c r="AA213" s="73"/>
      <c r="AB213" s="176"/>
      <c r="AC213" s="176"/>
      <c r="AD213" s="176"/>
      <c r="AJ213" s="135"/>
    </row>
    <row r="214" spans="9:36" x14ac:dyDescent="0.35">
      <c r="I214" s="49">
        <v>6.8810921035900002E-2</v>
      </c>
      <c r="J214" s="49">
        <v>8.2350607246731821E-10</v>
      </c>
      <c r="K214" s="49">
        <v>1.3496382836688413E-10</v>
      </c>
      <c r="L214" s="153">
        <v>9.0016517981055231E-10</v>
      </c>
      <c r="M214" s="18"/>
      <c r="R214" s="60">
        <v>1229.061193364277</v>
      </c>
      <c r="S214" s="57">
        <v>2.548118641382598E-6</v>
      </c>
      <c r="U214" s="127">
        <v>2.8761135715181471E-10</v>
      </c>
      <c r="V214" s="127">
        <v>9.0016517981055231E-10</v>
      </c>
      <c r="W214" s="127">
        <v>1.7974819220363364E-9</v>
      </c>
      <c r="X214" s="128">
        <f t="shared" si="6"/>
        <v>9.7135590970231385E-10</v>
      </c>
      <c r="Y214" s="139">
        <f t="shared" si="7"/>
        <v>1.2000709521168464</v>
      </c>
      <c r="AA214" s="73"/>
      <c r="AB214" s="176"/>
      <c r="AC214" s="176"/>
      <c r="AD214" s="176"/>
      <c r="AJ214" s="135"/>
    </row>
    <row r="215" spans="9:36" x14ac:dyDescent="0.35">
      <c r="I215" s="49">
        <v>6.9499030246199994E-2</v>
      </c>
      <c r="J215" s="49">
        <v>1.1936911301663279E-9</v>
      </c>
      <c r="K215" s="49">
        <v>1.5877865148088917E-10</v>
      </c>
      <c r="L215" s="153">
        <v>1.4803504768224686E-9</v>
      </c>
      <c r="M215" s="18"/>
      <c r="R215" s="60">
        <v>1229.061193364277</v>
      </c>
      <c r="S215" s="57">
        <v>2.4901782412135752E-6</v>
      </c>
      <c r="U215" s="127">
        <v>4.3952934505816239E-10</v>
      </c>
      <c r="V215" s="127">
        <v>1.4803504768224686E-9</v>
      </c>
      <c r="W215" s="127">
        <v>1.769401147313268E-9</v>
      </c>
      <c r="X215" s="128">
        <f t="shared" si="6"/>
        <v>1.2924078615040919E-9</v>
      </c>
      <c r="Y215" s="139">
        <f t="shared" si="7"/>
        <v>0.38654255706957108</v>
      </c>
      <c r="AA215" s="73"/>
      <c r="AB215" s="176"/>
      <c r="AC215" s="176"/>
      <c r="AD215" s="176"/>
      <c r="AJ215" s="135"/>
    </row>
    <row r="216" spans="9:36" x14ac:dyDescent="0.35">
      <c r="I216" s="49">
        <v>7.0194020548699998E-2</v>
      </c>
      <c r="J216" s="49">
        <v>1.475145228064426E-9</v>
      </c>
      <c r="K216" s="49">
        <v>1.6443742801532258E-10</v>
      </c>
      <c r="L216" s="153">
        <v>1.8420106327769599E-9</v>
      </c>
      <c r="M216" s="18"/>
      <c r="R216" s="60">
        <v>1229.3500888471467</v>
      </c>
      <c r="S216" s="57">
        <v>2.4901782412135752E-6</v>
      </c>
      <c r="U216" s="127">
        <v>9.3977400015413599E-10</v>
      </c>
      <c r="V216" s="127">
        <v>1.8420106327769599E-9</v>
      </c>
      <c r="W216" s="127">
        <v>1.337929094494056E-9</v>
      </c>
      <c r="X216" s="128">
        <f t="shared" si="6"/>
        <v>1.490431090050528E-9</v>
      </c>
      <c r="Y216" s="139">
        <f t="shared" si="7"/>
        <v>8.6412887529344132E-3</v>
      </c>
      <c r="AA216" s="73"/>
      <c r="AB216" s="176"/>
      <c r="AC216" s="176"/>
      <c r="AD216" s="176"/>
      <c r="AJ216" s="135"/>
    </row>
    <row r="217" spans="9:36" x14ac:dyDescent="0.35">
      <c r="I217" s="49">
        <v>7.0895960754200002E-2</v>
      </c>
      <c r="J217" s="49">
        <v>1.2669281365785387E-9</v>
      </c>
      <c r="K217" s="49">
        <v>1.6579646563355731E-10</v>
      </c>
      <c r="L217" s="153">
        <v>1.7760538589866811E-9</v>
      </c>
      <c r="M217" s="18"/>
      <c r="R217" s="60">
        <v>1229.3500888471467</v>
      </c>
      <c r="S217" s="57">
        <v>2.4322869616729677E-6</v>
      </c>
      <c r="U217" s="127">
        <v>1.527481368028362E-9</v>
      </c>
      <c r="V217" s="127">
        <v>1.7760538589866811E-9</v>
      </c>
      <c r="W217" s="127">
        <v>7.5091224580555616E-10</v>
      </c>
      <c r="X217" s="128">
        <f t="shared" si="6"/>
        <v>1.4576253329518202E-9</v>
      </c>
      <c r="Y217" s="139">
        <f t="shared" si="7"/>
        <v>1.3229337001500601</v>
      </c>
      <c r="AA217" s="73"/>
      <c r="AB217" s="176"/>
      <c r="AC217" s="176"/>
      <c r="AD217" s="176"/>
      <c r="AJ217" s="135"/>
    </row>
    <row r="218" spans="9:36" x14ac:dyDescent="0.35">
      <c r="I218" s="49">
        <v>7.1604920361700006E-2</v>
      </c>
      <c r="J218" s="49">
        <v>1.4035289159842864E-9</v>
      </c>
      <c r="K218" s="49">
        <v>1.7406366719789704E-10</v>
      </c>
      <c r="L218" s="153">
        <v>1.3123523378533912E-9</v>
      </c>
      <c r="M218" s="18"/>
      <c r="R218" s="60">
        <v>1229.655204706813</v>
      </c>
      <c r="S218" s="57">
        <v>2.4322869616729677E-6</v>
      </c>
      <c r="U218" s="127">
        <v>1.8800066962945197E-9</v>
      </c>
      <c r="V218" s="127">
        <v>1.3123523378533912E-9</v>
      </c>
      <c r="W218" s="127">
        <v>3.6233486948207648E-10</v>
      </c>
      <c r="X218" s="128">
        <f t="shared" si="6"/>
        <v>1.2167615603708447E-9</v>
      </c>
      <c r="Y218" s="139">
        <f t="shared" si="7"/>
        <v>1.1512925157300777</v>
      </c>
      <c r="AA218" s="73"/>
      <c r="AB218" s="176"/>
      <c r="AC218" s="176"/>
      <c r="AD218" s="176"/>
      <c r="AJ218" s="135"/>
    </row>
    <row r="219" spans="9:36" x14ac:dyDescent="0.35">
      <c r="I219" s="49">
        <v>7.23209695653E-2</v>
      </c>
      <c r="J219" s="49">
        <v>8.1138590116085438E-10</v>
      </c>
      <c r="K219" s="49">
        <v>1.4017601479105879E-10</v>
      </c>
      <c r="L219" s="153">
        <v>7.1833128069488605E-10</v>
      </c>
      <c r="M219" s="18"/>
      <c r="R219" s="60">
        <v>1229.655204706813</v>
      </c>
      <c r="S219" s="57">
        <v>2.3745374867751954E-6</v>
      </c>
      <c r="U219" s="127">
        <v>1.7934031841774057E-9</v>
      </c>
      <c r="V219" s="127">
        <v>7.1833128069488605E-10</v>
      </c>
      <c r="W219" s="127">
        <v>4.2121925509048194E-10</v>
      </c>
      <c r="X219" s="128">
        <f t="shared" si="6"/>
        <v>9.1282125016441501E-10</v>
      </c>
      <c r="Y219" s="139">
        <f t="shared" si="7"/>
        <v>0.52363809950739326</v>
      </c>
      <c r="AA219" s="73"/>
      <c r="AB219" s="176"/>
      <c r="AC219" s="176"/>
      <c r="AD219" s="176"/>
      <c r="AJ219" s="135"/>
    </row>
    <row r="220" spans="9:36" x14ac:dyDescent="0.35">
      <c r="I220" s="49">
        <v>7.3044179261E-2</v>
      </c>
      <c r="J220" s="49">
        <v>8.2904949755630808E-10</v>
      </c>
      <c r="K220" s="49">
        <v>1.3748966105589537E-10</v>
      </c>
      <c r="L220" s="153">
        <v>3.5322342823015089E-10</v>
      </c>
      <c r="M220" s="18"/>
      <c r="R220" s="60">
        <v>1229.9850595565006</v>
      </c>
      <c r="S220" s="57">
        <v>2.3745374867751954E-6</v>
      </c>
      <c r="U220" s="127">
        <v>1.309495876330733E-9</v>
      </c>
      <c r="V220" s="127">
        <v>3.5322342823015089E-10</v>
      </c>
      <c r="W220" s="127">
        <v>9.0813320220487798E-10</v>
      </c>
      <c r="X220" s="128">
        <f t="shared" si="6"/>
        <v>7.310189837489782E-10</v>
      </c>
      <c r="Y220" s="139">
        <f t="shared" si="7"/>
        <v>0.50837299802923352</v>
      </c>
      <c r="AA220" s="73"/>
      <c r="AB220" s="176"/>
      <c r="AC220" s="176"/>
      <c r="AD220" s="176"/>
      <c r="AJ220" s="135"/>
    </row>
    <row r="221" spans="9:36" x14ac:dyDescent="0.35">
      <c r="I221" s="49">
        <v>7.3774621053599998E-2</v>
      </c>
      <c r="J221" s="49">
        <v>1.0410726918750249E-9</v>
      </c>
      <c r="K221" s="49">
        <v>1.5748422566214672E-10</v>
      </c>
      <c r="L221" s="153">
        <v>4.5273565054165672E-10</v>
      </c>
      <c r="M221" s="18"/>
      <c r="R221" s="60">
        <v>1229.9850595565006</v>
      </c>
      <c r="S221" s="57">
        <v>2.3171224917678E-6</v>
      </c>
      <c r="U221" s="127">
        <v>7.078140202762326E-10</v>
      </c>
      <c r="V221" s="127">
        <v>4.5273565054165672E-10</v>
      </c>
      <c r="W221" s="127">
        <v>1.529647328786649E-9</v>
      </c>
      <c r="X221" s="128">
        <f t="shared" si="6"/>
        <v>7.8573316253654868E-10</v>
      </c>
      <c r="Y221" s="139">
        <f t="shared" si="7"/>
        <v>2.6288268887787232</v>
      </c>
      <c r="AA221" s="73"/>
      <c r="AB221" s="176"/>
      <c r="AC221" s="176"/>
      <c r="AD221" s="176"/>
      <c r="AJ221" s="135"/>
    </row>
    <row r="222" spans="9:36" x14ac:dyDescent="0.35">
      <c r="I222" s="49">
        <v>7.4512367264100002E-2</v>
      </c>
      <c r="J222" s="49">
        <v>1.1555014244660006E-9</v>
      </c>
      <c r="K222" s="49">
        <v>1.6840204194778144E-10</v>
      </c>
      <c r="L222" s="153">
        <v>9.726837993484908E-10</v>
      </c>
      <c r="M222" s="18"/>
      <c r="R222" s="60">
        <v>1230.3522409657571</v>
      </c>
      <c r="S222" s="57">
        <v>2.3171224917678E-6</v>
      </c>
      <c r="U222" s="127">
        <v>3.5260473856261262E-10</v>
      </c>
      <c r="V222" s="127">
        <v>9.726837993484908E-10</v>
      </c>
      <c r="W222" s="127">
        <v>1.8912638835505361E-9</v>
      </c>
      <c r="X222" s="128">
        <f t="shared" si="6"/>
        <v>1.0473090552025325E-9</v>
      </c>
      <c r="Y222" s="139">
        <f t="shared" si="7"/>
        <v>0.41276090527461406</v>
      </c>
      <c r="AA222" s="73"/>
      <c r="AB222" s="176"/>
      <c r="AC222" s="176"/>
      <c r="AD222" s="176"/>
      <c r="AJ222" s="135"/>
    </row>
    <row r="223" spans="9:36" x14ac:dyDescent="0.35">
      <c r="I223" s="49">
        <v>7.5257490936799995E-2</v>
      </c>
      <c r="J223" s="49">
        <v>9.9829816529755605E-10</v>
      </c>
      <c r="K223" s="49">
        <v>1.5941754810865574E-10</v>
      </c>
      <c r="L223" s="153">
        <v>1.598568976738333E-9</v>
      </c>
      <c r="M223" s="18"/>
      <c r="R223" s="60">
        <v>1230.3522409657571</v>
      </c>
      <c r="S223" s="57">
        <v>2.260417959087457E-6</v>
      </c>
      <c r="U223" s="127">
        <v>4.7406545108031018E-10</v>
      </c>
      <c r="V223" s="127">
        <v>1.598568976738333E-9</v>
      </c>
      <c r="W223" s="127">
        <v>1.7524340353869727E-9</v>
      </c>
      <c r="X223" s="128">
        <f t="shared" si="6"/>
        <v>1.3559093599859873E-9</v>
      </c>
      <c r="Y223" s="139">
        <f t="shared" si="7"/>
        <v>5.0321080820757107</v>
      </c>
      <c r="AA223" s="73"/>
      <c r="AB223" s="176"/>
      <c r="AC223" s="176"/>
      <c r="AD223" s="176"/>
      <c r="AJ223" s="135"/>
    </row>
    <row r="224" spans="9:36" x14ac:dyDescent="0.35">
      <c r="I224" s="49">
        <v>7.6010065846099997E-2</v>
      </c>
      <c r="J224" s="49">
        <v>1.2764017610370957E-9</v>
      </c>
      <c r="K224" s="49">
        <v>1.7929192635240745E-10</v>
      </c>
      <c r="L224" s="153">
        <v>1.9325350496535384E-9</v>
      </c>
      <c r="M224" s="18"/>
      <c r="R224" s="60">
        <v>1230.7774627937758</v>
      </c>
      <c r="S224" s="57">
        <v>2.260417959087457E-6</v>
      </c>
      <c r="U224" s="127">
        <v>1.0148543086684256E-9</v>
      </c>
      <c r="V224" s="127">
        <v>1.9325350496535384E-9</v>
      </c>
      <c r="W224" s="127">
        <v>1.1991765160300474E-9</v>
      </c>
      <c r="X224" s="128">
        <f t="shared" si="6"/>
        <v>1.5197752310013873E-9</v>
      </c>
      <c r="Y224" s="139">
        <f t="shared" si="7"/>
        <v>1.8425742671536718</v>
      </c>
      <c r="AA224" s="73"/>
      <c r="AB224" s="176"/>
      <c r="AC224" s="176"/>
      <c r="AD224" s="176"/>
      <c r="AJ224" s="135"/>
    </row>
    <row r="225" spans="9:36" x14ac:dyDescent="0.35">
      <c r="I225" s="49">
        <v>7.6770166504600001E-2</v>
      </c>
      <c r="J225" s="49">
        <v>1.5803366997604832E-9</v>
      </c>
      <c r="K225" s="49">
        <v>2.0181627189819591E-10</v>
      </c>
      <c r="L225" s="153">
        <v>1.7518138541558389E-9</v>
      </c>
      <c r="M225" s="18"/>
      <c r="R225" s="60">
        <v>1230.7774627937758</v>
      </c>
      <c r="S225" s="57">
        <v>2.205151804440905E-6</v>
      </c>
      <c r="U225" s="127">
        <v>1.6476019012808321E-9</v>
      </c>
      <c r="V225" s="127">
        <v>1.7518138541558389E-9</v>
      </c>
      <c r="W225" s="127">
        <v>6.0625259248473466E-10</v>
      </c>
      <c r="X225" s="128">
        <f t="shared" si="6"/>
        <v>1.4393705505193112E-9</v>
      </c>
      <c r="Y225" s="139">
        <f t="shared" si="7"/>
        <v>0.48788482935225252</v>
      </c>
      <c r="AA225" s="73"/>
      <c r="AB225" s="176"/>
      <c r="AC225" s="176"/>
      <c r="AD225" s="176"/>
      <c r="AJ225" s="135"/>
    </row>
    <row r="226" spans="9:36" x14ac:dyDescent="0.35">
      <c r="I226" s="49">
        <v>7.7537868169599997E-2</v>
      </c>
      <c r="J226" s="49">
        <v>1.088702887505664E-9</v>
      </c>
      <c r="K226" s="49">
        <v>1.8120987745977414E-10</v>
      </c>
      <c r="L226" s="153">
        <v>1.1706952201797227E-9</v>
      </c>
      <c r="M226" s="18"/>
      <c r="R226" s="60">
        <v>1231.2999855036426</v>
      </c>
      <c r="S226" s="57">
        <v>2.205151804440905E-6</v>
      </c>
      <c r="U226" s="127">
        <v>1.9701814997657879E-9</v>
      </c>
      <c r="V226" s="127">
        <v>1.1706952201797227E-9</v>
      </c>
      <c r="W226" s="127">
        <v>3.9338044194015987E-10</v>
      </c>
      <c r="X226" s="128">
        <f t="shared" si="6"/>
        <v>1.1762380955163482E-9</v>
      </c>
      <c r="Y226" s="139">
        <f t="shared" si="7"/>
        <v>0.23334677489150321</v>
      </c>
      <c r="AA226" s="73"/>
      <c r="AB226" s="176"/>
      <c r="AC226" s="176"/>
      <c r="AD226" s="176"/>
      <c r="AJ226" s="135"/>
    </row>
    <row r="227" spans="9:36" x14ac:dyDescent="0.35">
      <c r="I227" s="49">
        <v>7.8313246851300006E-2</v>
      </c>
      <c r="J227" s="49">
        <v>1.2865356662204355E-9</v>
      </c>
      <c r="K227" s="49">
        <v>1.9332185582936419E-10</v>
      </c>
      <c r="L227" s="153">
        <v>5.8385992223624768E-10</v>
      </c>
      <c r="M227" s="18"/>
      <c r="R227" s="60">
        <v>1231.2999855036426</v>
      </c>
      <c r="S227" s="57">
        <v>2.1527842060601656E-6</v>
      </c>
      <c r="U227" s="127">
        <v>1.7673918531732538E-9</v>
      </c>
      <c r="V227" s="127">
        <v>5.8385992223624768E-10</v>
      </c>
      <c r="W227" s="127">
        <v>7.2870143987306953E-10</v>
      </c>
      <c r="X227" s="128">
        <f t="shared" si="6"/>
        <v>9.1595328437970468E-10</v>
      </c>
      <c r="Y227" s="139">
        <f t="shared" si="7"/>
        <v>3.6745793109851093</v>
      </c>
      <c r="AA227" s="73"/>
      <c r="AB227" s="176"/>
      <c r="AC227" s="176"/>
      <c r="AD227" s="176"/>
      <c r="AJ227" s="135"/>
    </row>
    <row r="228" spans="9:36" x14ac:dyDescent="0.35">
      <c r="I228" s="49">
        <v>7.90963793198E-2</v>
      </c>
      <c r="J228" s="49">
        <v>9.122675574109837E-10</v>
      </c>
      <c r="K228" s="49">
        <v>1.6677946615435659E-10</v>
      </c>
      <c r="L228" s="153">
        <v>4.0801261857276872E-10</v>
      </c>
      <c r="M228" s="18"/>
      <c r="R228" s="60">
        <v>1232.0131626916661</v>
      </c>
      <c r="S228" s="57">
        <v>2.1527842060601656E-6</v>
      </c>
      <c r="U228" s="127">
        <v>1.1684538715345922E-9</v>
      </c>
      <c r="V228" s="127">
        <v>4.0801261857276872E-10</v>
      </c>
      <c r="W228" s="127">
        <v>1.3905296984845148E-9</v>
      </c>
      <c r="X228" s="128">
        <f t="shared" si="6"/>
        <v>8.4375220179116117E-10</v>
      </c>
      <c r="Y228" s="139">
        <f t="shared" si="7"/>
        <v>0.16876822147356793</v>
      </c>
      <c r="AA228" s="73"/>
      <c r="AB228" s="176"/>
      <c r="AC228" s="176"/>
      <c r="AD228" s="176"/>
      <c r="AJ228" s="135"/>
    </row>
    <row r="229" spans="9:36" x14ac:dyDescent="0.35">
      <c r="I229" s="49">
        <v>7.9887343112999998E-2</v>
      </c>
      <c r="J229" s="49">
        <v>1.0450438440838102E-9</v>
      </c>
      <c r="K229" s="49">
        <v>1.7574977783329498E-10</v>
      </c>
      <c r="L229" s="153">
        <v>7.8599576008603424E-10</v>
      </c>
      <c r="M229" s="18"/>
      <c r="R229" s="60">
        <v>1232.0131626916661</v>
      </c>
      <c r="S229" s="57">
        <v>2.1065047741470511E-6</v>
      </c>
      <c r="U229" s="127">
        <v>5.8052827776936443E-10</v>
      </c>
      <c r="V229" s="127">
        <v>7.8599576008603424E-10</v>
      </c>
      <c r="W229" s="127">
        <v>1.9065667922434978E-9</v>
      </c>
      <c r="X229" s="128">
        <f t="shared" si="6"/>
        <v>1.0147716475462327E-9</v>
      </c>
      <c r="Y229" s="139">
        <f t="shared" si="7"/>
        <v>2.9668685113650291E-2</v>
      </c>
      <c r="AA229" s="73"/>
      <c r="AB229" s="176"/>
      <c r="AC229" s="176"/>
      <c r="AD229" s="176"/>
      <c r="AJ229" s="135"/>
    </row>
    <row r="230" spans="9:36" x14ac:dyDescent="0.35">
      <c r="I230" s="49">
        <v>8.0686216544199996E-2</v>
      </c>
      <c r="J230" s="49">
        <v>1.155252702984542E-9</v>
      </c>
      <c r="K230" s="49">
        <v>1.9057152236515356E-10</v>
      </c>
      <c r="L230" s="153">
        <v>1.4655574370743189E-9</v>
      </c>
      <c r="M230" s="27"/>
      <c r="R230" s="60">
        <v>1233.2947515670401</v>
      </c>
      <c r="S230" s="57">
        <v>2.1065047741470511E-6</v>
      </c>
      <c r="U230" s="127">
        <v>4.2156417005075529E-10</v>
      </c>
      <c r="V230" s="127">
        <v>1.4655574370743189E-9</v>
      </c>
      <c r="W230" s="127">
        <v>1.8937748635570569E-9</v>
      </c>
      <c r="X230" s="128">
        <f t="shared" si="6"/>
        <v>1.3116134769391124E-9</v>
      </c>
      <c r="Y230" s="139">
        <f t="shared" si="7"/>
        <v>0.6731930384461372</v>
      </c>
      <c r="AA230" s="73"/>
      <c r="AB230" s="176"/>
      <c r="AC230" s="176"/>
      <c r="AD230" s="176"/>
      <c r="AJ230" s="135"/>
    </row>
    <row r="231" spans="9:36" x14ac:dyDescent="0.35">
      <c r="I231" s="49">
        <v>8.14930787096E-2</v>
      </c>
      <c r="J231" s="49">
        <v>1.3578397164064074E-9</v>
      </c>
      <c r="K231" s="49">
        <v>2.1652994138113317E-10</v>
      </c>
      <c r="L231" s="153">
        <v>1.9609571742222659E-9</v>
      </c>
      <c r="M231" s="27"/>
      <c r="R231" s="60">
        <v>1233.2947515670401</v>
      </c>
      <c r="S231" s="57">
        <v>2.0745140183267299E-6</v>
      </c>
      <c r="U231" s="127">
        <v>8.2299732382077166E-10</v>
      </c>
      <c r="V231" s="127">
        <v>1.9609571742222659E-9</v>
      </c>
      <c r="W231" s="127">
        <v>1.3576232215226145E-9</v>
      </c>
      <c r="X231" s="128">
        <f t="shared" si="6"/>
        <v>1.5256337234469795E-9</v>
      </c>
      <c r="Y231" s="139">
        <f t="shared" si="7"/>
        <v>0.60050547896093265</v>
      </c>
      <c r="AA231" s="73"/>
      <c r="AB231" s="176"/>
      <c r="AC231" s="176"/>
      <c r="AD231" s="176"/>
      <c r="AJ231" s="135"/>
    </row>
    <row r="232" spans="9:36" x14ac:dyDescent="0.35">
      <c r="I232" s="49">
        <v>8.2308009496700002E-2</v>
      </c>
      <c r="J232" s="49">
        <v>1.5001185580994878E-9</v>
      </c>
      <c r="K232" s="49">
        <v>2.2528834764513115E-10</v>
      </c>
      <c r="L232" s="153">
        <v>1.9041262860020495E-9</v>
      </c>
      <c r="M232" s="27"/>
      <c r="R232" s="60">
        <v>1235.0158331551143</v>
      </c>
      <c r="S232" s="57">
        <v>2.0745140183267299E-6</v>
      </c>
      <c r="U232" s="127">
        <v>1.5161404619392101E-9</v>
      </c>
      <c r="V232" s="127">
        <v>1.9041262860020495E-9</v>
      </c>
      <c r="W232" s="127">
        <v>7.1192755722364534E-10</v>
      </c>
      <c r="X232" s="128">
        <f t="shared" si="6"/>
        <v>1.5090801477917385E-9</v>
      </c>
      <c r="Y232" s="139">
        <f t="shared" si="7"/>
        <v>1.5823139324137726E-3</v>
      </c>
      <c r="AA232" s="73"/>
      <c r="AB232" s="176"/>
      <c r="AC232" s="176"/>
      <c r="AD232" s="176"/>
      <c r="AJ232" s="135"/>
    </row>
    <row r="233" spans="9:36" x14ac:dyDescent="0.35">
      <c r="I233" s="49">
        <v>8.31310895917E-2</v>
      </c>
      <c r="J233" s="49">
        <v>1.0624748092724147E-9</v>
      </c>
      <c r="K233" s="49">
        <v>2.047913039894125E-10</v>
      </c>
      <c r="L233" s="153">
        <v>1.3341960034828251E-9</v>
      </c>
      <c r="M233" s="27"/>
      <c r="R233" s="60">
        <v>1235.0158331551143</v>
      </c>
      <c r="S233" s="57">
        <v>2.0700937506185016E-6</v>
      </c>
      <c r="U233" s="127">
        <v>2.0056109520428259E-9</v>
      </c>
      <c r="V233" s="127">
        <v>1.3341960034828251E-9</v>
      </c>
      <c r="W233" s="127">
        <v>4.751277744498184E-10</v>
      </c>
      <c r="X233" s="128">
        <f t="shared" si="6"/>
        <v>1.2872826833645736E-9</v>
      </c>
      <c r="Y233" s="139">
        <f t="shared" si="7"/>
        <v>1.2050359812599467</v>
      </c>
      <c r="AA233" s="73"/>
      <c r="AB233" s="176"/>
      <c r="AC233" s="176"/>
      <c r="AD233" s="176"/>
      <c r="AJ233" s="135"/>
    </row>
    <row r="234" spans="9:36" x14ac:dyDescent="0.35">
      <c r="I234" s="49">
        <v>8.3962400487599995E-2</v>
      </c>
      <c r="J234" s="49">
        <v>1.0785470358737632E-9</v>
      </c>
      <c r="K234" s="49">
        <v>2.0770507398511304E-10</v>
      </c>
      <c r="L234" s="153">
        <v>6.9209231615875339E-10</v>
      </c>
      <c r="M234" s="27"/>
      <c r="R234" s="60">
        <v>1335.0158331551143</v>
      </c>
      <c r="S234" s="57">
        <v>2.0700937506185016E-6</v>
      </c>
      <c r="U234" s="127">
        <v>1.9280004411818863E-9</v>
      </c>
      <c r="V234" s="127">
        <v>6.9209231615875339E-10</v>
      </c>
      <c r="W234" s="127">
        <v>8.5721970064886888E-10</v>
      </c>
      <c r="X234" s="128">
        <f t="shared" si="6"/>
        <v>1.0423511935370654E-9</v>
      </c>
      <c r="Y234" s="139">
        <f t="shared" si="7"/>
        <v>3.0368487589970791E-2</v>
      </c>
      <c r="AA234" s="73"/>
      <c r="AB234" s="176"/>
      <c r="AC234" s="176"/>
      <c r="AD234" s="176"/>
      <c r="AJ234" s="135"/>
    </row>
    <row r="235" spans="9:36" x14ac:dyDescent="0.35">
      <c r="I235" s="49">
        <v>8.4802024492500003E-2</v>
      </c>
      <c r="J235" s="49">
        <v>8.8599731315775894E-10</v>
      </c>
      <c r="K235" s="49">
        <v>2.0531444426621031E-10</v>
      </c>
      <c r="L235" s="153">
        <v>4.9471251816179447E-10</v>
      </c>
      <c r="M235" s="27"/>
      <c r="U235" s="127">
        <v>1.3384959025911261E-9</v>
      </c>
      <c r="V235" s="127">
        <v>4.9471251816179447E-10</v>
      </c>
      <c r="W235" s="127">
        <v>1.568156090219845E-9</v>
      </c>
      <c r="X235" s="128">
        <f t="shared" si="6"/>
        <v>9.7401925728364012E-10</v>
      </c>
      <c r="Y235" s="139">
        <f t="shared" si="7"/>
        <v>0.18379889888145123</v>
      </c>
      <c r="AA235" s="73"/>
      <c r="AB235" s="176"/>
      <c r="AC235" s="176"/>
      <c r="AD235" s="176"/>
      <c r="AJ235" s="135"/>
    </row>
    <row r="236" spans="9:36" x14ac:dyDescent="0.35">
      <c r="I236" s="49">
        <v>8.5650044737399997E-2</v>
      </c>
      <c r="J236" s="49">
        <v>1.191213777492228E-9</v>
      </c>
      <c r="K236" s="49">
        <v>2.3762254985536441E-10</v>
      </c>
      <c r="L236" s="153">
        <v>9.2130734194331923E-10</v>
      </c>
      <c r="M236" s="27"/>
      <c r="U236" s="127">
        <v>6.9353500500760411E-10</v>
      </c>
      <c r="V236" s="127">
        <v>9.2130734194331923E-10</v>
      </c>
      <c r="W236" s="127">
        <v>2.0311077150930858E-9</v>
      </c>
      <c r="X236" s="128">
        <f t="shared" si="6"/>
        <v>1.141814350996832E-9</v>
      </c>
      <c r="Y236" s="139">
        <f t="shared" si="7"/>
        <v>4.3218382641866844E-2</v>
      </c>
      <c r="AA236" s="73"/>
      <c r="AB236" s="176"/>
      <c r="AC236" s="176"/>
      <c r="AD236" s="176"/>
      <c r="AJ236" s="135"/>
    </row>
    <row r="237" spans="9:36" x14ac:dyDescent="0.35">
      <c r="I237" s="49">
        <v>8.6506545184799999E-2</v>
      </c>
      <c r="J237" s="49">
        <v>1.235520196921236E-9</v>
      </c>
      <c r="K237" s="49">
        <v>2.327806169519556E-10</v>
      </c>
      <c r="L237" s="153">
        <v>1.6455536410722273E-9</v>
      </c>
      <c r="M237" s="27"/>
      <c r="U237" s="127">
        <v>5.1272042052568845E-10</v>
      </c>
      <c r="V237" s="127">
        <v>1.6455536410722273E-9</v>
      </c>
      <c r="W237" s="127">
        <v>1.8577351075377583E-9</v>
      </c>
      <c r="X237" s="128">
        <f t="shared" si="6"/>
        <v>1.4153907025519755E-9</v>
      </c>
      <c r="Y237" s="139">
        <f t="shared" si="7"/>
        <v>0.59707141710725664</v>
      </c>
      <c r="AA237" s="73"/>
      <c r="AB237" s="176"/>
      <c r="AC237" s="176"/>
      <c r="AD237" s="176"/>
      <c r="AJ237" s="135"/>
    </row>
    <row r="238" spans="9:36" x14ac:dyDescent="0.35">
      <c r="I238" s="49">
        <v>8.7371610636599997E-2</v>
      </c>
      <c r="J238" s="49">
        <v>1.2950481506620971E-9</v>
      </c>
      <c r="K238" s="49">
        <v>1.3404121687530809E-10</v>
      </c>
      <c r="L238" s="153">
        <v>2.0790984369516211E-9</v>
      </c>
      <c r="M238" s="27"/>
      <c r="U238" s="127">
        <v>9.6248991123291525E-10</v>
      </c>
      <c r="V238" s="127">
        <v>2.0790984369516211E-9</v>
      </c>
      <c r="W238" s="127">
        <v>1.1965515652684371E-9</v>
      </c>
      <c r="X238" s="128">
        <f t="shared" si="6"/>
        <v>1.5793095876011488E-9</v>
      </c>
      <c r="Y238" s="139">
        <f t="shared" si="7"/>
        <v>4.4973757143536091</v>
      </c>
      <c r="AA238" s="73"/>
      <c r="AB238" s="176"/>
      <c r="AC238" s="176"/>
      <c r="AD238" s="176"/>
      <c r="AJ238" s="135"/>
    </row>
    <row r="239" spans="9:36" x14ac:dyDescent="0.35">
      <c r="I239" s="49">
        <v>8.8245326742999994E-2</v>
      </c>
      <c r="J239" s="49">
        <v>1.8531161385909668E-9</v>
      </c>
      <c r="K239" s="49">
        <v>1.5842875929199972E-10</v>
      </c>
      <c r="L239" s="153">
        <v>1.8582540782008386E-9</v>
      </c>
      <c r="M239" s="27"/>
      <c r="U239" s="127">
        <v>1.6980326775877553E-9</v>
      </c>
      <c r="V239" s="127">
        <v>1.8582540782008386E-9</v>
      </c>
      <c r="W239" s="127">
        <v>6.3276093972016774E-10</v>
      </c>
      <c r="X239" s="128">
        <f t="shared" si="6"/>
        <v>1.5118254434274E-9</v>
      </c>
      <c r="Y239" s="139">
        <f t="shared" si="7"/>
        <v>4.6406717852273749</v>
      </c>
      <c r="AA239" s="73"/>
      <c r="AB239" s="176"/>
      <c r="AC239" s="176"/>
      <c r="AD239" s="176"/>
      <c r="AJ239" s="135"/>
    </row>
    <row r="240" spans="9:36" x14ac:dyDescent="0.35">
      <c r="I240" s="49">
        <v>8.9127780010400004E-2</v>
      </c>
      <c r="J240" s="49">
        <v>1.3347447442313809E-9</v>
      </c>
      <c r="K240" s="49">
        <v>1.3504510731357764E-10</v>
      </c>
      <c r="L240" s="153">
        <v>1.1729933816277912E-9</v>
      </c>
      <c r="M240" s="27"/>
      <c r="U240" s="127">
        <v>2.1220024079157589E-9</v>
      </c>
      <c r="V240" s="127">
        <v>1.1729933816277912E-9</v>
      </c>
      <c r="W240" s="127">
        <v>6.8670105387199072E-10</v>
      </c>
      <c r="X240" s="128">
        <f t="shared" si="6"/>
        <v>1.2886725562608331E-9</v>
      </c>
      <c r="Y240" s="139">
        <f t="shared" si="7"/>
        <v>0.11639115186206113</v>
      </c>
      <c r="AA240" s="73"/>
      <c r="AB240" s="176"/>
      <c r="AC240" s="176"/>
      <c r="AD240" s="176"/>
      <c r="AJ240" s="135"/>
    </row>
    <row r="241" spans="9:36" x14ac:dyDescent="0.35">
      <c r="I241" s="49">
        <v>9.00190578105E-2</v>
      </c>
      <c r="J241" s="49">
        <v>1.289910890328661E-9</v>
      </c>
      <c r="K241" s="49">
        <v>1.3038794641143616E-10</v>
      </c>
      <c r="L241" s="153">
        <v>6.3086837087097475E-10</v>
      </c>
      <c r="M241" s="27"/>
      <c r="U241" s="127">
        <v>1.8792094903607316E-9</v>
      </c>
      <c r="V241" s="127">
        <v>6.3086837087097475E-10</v>
      </c>
      <c r="W241" s="127">
        <v>1.3336043575421004E-9</v>
      </c>
      <c r="X241" s="128">
        <f t="shared" si="6"/>
        <v>1.1186376474111954E-9</v>
      </c>
      <c r="Y241" s="139">
        <f t="shared" si="7"/>
        <v>1.7254570407441823</v>
      </c>
      <c r="AA241" s="73"/>
      <c r="AB241" s="176"/>
      <c r="AC241" s="176"/>
      <c r="AD241" s="176"/>
      <c r="AJ241" s="135"/>
    </row>
    <row r="242" spans="9:36" x14ac:dyDescent="0.35">
      <c r="I242" s="49">
        <v>9.0919248388599994E-2</v>
      </c>
      <c r="J242" s="49">
        <v>9.320899727632931E-10</v>
      </c>
      <c r="K242" s="49">
        <v>1.1867133247193669E-10</v>
      </c>
      <c r="L242" s="153">
        <v>7.340418207626439E-10</v>
      </c>
      <c r="M242" s="27"/>
      <c r="U242" s="127">
        <v>1.1789470044410635E-9</v>
      </c>
      <c r="V242" s="127">
        <v>7.340418207626439E-10</v>
      </c>
      <c r="W242" s="127">
        <v>1.9961675111049136E-9</v>
      </c>
      <c r="X242" s="128">
        <f t="shared" si="6"/>
        <v>1.1607995392678161E-9</v>
      </c>
      <c r="Y242" s="139">
        <f t="shared" si="7"/>
        <v>3.7143003902305529</v>
      </c>
      <c r="AA242" s="73"/>
      <c r="AB242" s="176"/>
      <c r="AC242" s="176"/>
      <c r="AD242" s="176"/>
      <c r="AJ242" s="135"/>
    </row>
    <row r="243" spans="9:36" x14ac:dyDescent="0.35">
      <c r="I243" s="49">
        <v>9.18284408725E-2</v>
      </c>
      <c r="J243" s="49">
        <v>1.3138978385027418E-9</v>
      </c>
      <c r="K243" s="49">
        <v>1.3669309400212928E-10</v>
      </c>
      <c r="L243" s="153">
        <v>1.4134272629830149E-9</v>
      </c>
      <c r="M243" s="27"/>
      <c r="U243" s="127">
        <v>6.4232755503502423E-10</v>
      </c>
      <c r="V243" s="127">
        <v>1.4134272629830149E-9</v>
      </c>
      <c r="W243" s="127">
        <v>2.0616026995028426E-9</v>
      </c>
      <c r="X243" s="128">
        <f t="shared" si="6"/>
        <v>1.3826961951259741E-9</v>
      </c>
      <c r="Y243" s="139">
        <f t="shared" si="7"/>
        <v>0.25331620982762437</v>
      </c>
      <c r="AA243" s="73"/>
      <c r="AB243" s="176"/>
      <c r="AC243" s="176"/>
      <c r="AD243" s="176"/>
      <c r="AJ243" s="135"/>
    </row>
    <row r="244" spans="9:36" x14ac:dyDescent="0.35">
      <c r="I244" s="49">
        <v>9.2746725281199996E-2</v>
      </c>
      <c r="J244" s="49">
        <v>1.376649810675912E-9</v>
      </c>
      <c r="K244" s="49">
        <v>1.4599597652524492E-10</v>
      </c>
      <c r="L244" s="153">
        <v>2.0613718106619152E-9</v>
      </c>
      <c r="M244" s="27"/>
      <c r="U244" s="127">
        <v>7.6696962845289194E-10</v>
      </c>
      <c r="V244" s="127">
        <v>2.0613718106619152E-9</v>
      </c>
      <c r="W244" s="127">
        <v>1.4711561675650295E-9</v>
      </c>
      <c r="X244" s="128">
        <f t="shared" si="6"/>
        <v>1.5902173543354379E-9</v>
      </c>
      <c r="Y244" s="139">
        <f t="shared" si="7"/>
        <v>2.1398766050880242</v>
      </c>
      <c r="AA244" s="73"/>
      <c r="AB244" s="176"/>
      <c r="AC244" s="176"/>
      <c r="AD244" s="176"/>
      <c r="AJ244" s="135"/>
    </row>
    <row r="245" spans="9:36" x14ac:dyDescent="0.35">
      <c r="I245" s="49">
        <v>9.3674192534E-2</v>
      </c>
      <c r="J245" s="49">
        <v>1.537962419757592E-9</v>
      </c>
      <c r="K245" s="49">
        <v>1.5397039635100839E-10</v>
      </c>
      <c r="L245" s="153">
        <v>2.0785396009001289E-9</v>
      </c>
      <c r="M245" s="27"/>
      <c r="U245" s="127">
        <v>1.4646443135142535E-9</v>
      </c>
      <c r="V245" s="127">
        <v>2.0785396009001289E-9</v>
      </c>
      <c r="W245" s="127">
        <v>8.0758613061454177E-10</v>
      </c>
      <c r="X245" s="128">
        <f t="shared" si="6"/>
        <v>1.6073274114822633E-9</v>
      </c>
      <c r="Y245" s="139">
        <f t="shared" si="7"/>
        <v>0.20295802221687867</v>
      </c>
      <c r="AA245" s="73"/>
      <c r="AB245" s="176"/>
      <c r="AC245" s="176"/>
      <c r="AD245" s="176"/>
      <c r="AJ245" s="135"/>
    </row>
    <row r="246" spans="9:36" x14ac:dyDescent="0.35">
      <c r="I246" s="49">
        <v>9.4610934459399998E-2</v>
      </c>
      <c r="J246" s="49">
        <v>1.7817333257133765E-9</v>
      </c>
      <c r="K246" s="49">
        <v>1.6238537569170677E-10</v>
      </c>
      <c r="L246" s="153">
        <v>1.4528420055373269E-9</v>
      </c>
      <c r="M246" s="27"/>
      <c r="U246" s="127">
        <v>2.1112170498218269E-9</v>
      </c>
      <c r="V246" s="127">
        <v>1.4528420055373269E-9</v>
      </c>
      <c r="W246" s="127">
        <v>7.4674644417186815E-10</v>
      </c>
      <c r="X246" s="128">
        <f t="shared" si="6"/>
        <v>1.4409118762670872E-9</v>
      </c>
      <c r="Y246" s="139">
        <f t="shared" si="7"/>
        <v>4.4051429823069217</v>
      </c>
      <c r="AA246" s="73"/>
      <c r="AB246" s="176"/>
      <c r="AC246" s="176"/>
      <c r="AD246" s="176"/>
      <c r="AJ246" s="135"/>
    </row>
    <row r="247" spans="9:36" x14ac:dyDescent="0.35">
      <c r="I247" s="49">
        <v>9.5557043804E-2</v>
      </c>
      <c r="J247" s="49">
        <v>1.5372648875447571E-9</v>
      </c>
      <c r="K247" s="49">
        <v>1.5416735427857228E-10</v>
      </c>
      <c r="L247" s="153">
        <v>8.025643445780442E-10</v>
      </c>
      <c r="M247" s="27"/>
      <c r="U247" s="127">
        <v>2.1091756601932212E-9</v>
      </c>
      <c r="V247" s="127">
        <v>8.025643445780442E-10</v>
      </c>
      <c r="W247" s="127">
        <v>1.3751882195128233E-9</v>
      </c>
      <c r="X247" s="128">
        <f t="shared" si="6"/>
        <v>1.2723731422155331E-9</v>
      </c>
      <c r="Y247" s="139">
        <f t="shared" si="7"/>
        <v>2.9522423839312442</v>
      </c>
      <c r="AA247" s="73"/>
      <c r="AB247" s="176"/>
      <c r="AC247" s="176"/>
      <c r="AD247" s="176"/>
      <c r="AJ247" s="135"/>
    </row>
    <row r="248" spans="9:36" x14ac:dyDescent="0.35">
      <c r="I248" s="49">
        <v>9.6512614242E-2</v>
      </c>
      <c r="J248" s="49">
        <v>1.1645286988772356E-9</v>
      </c>
      <c r="K248" s="49">
        <v>1.4103069826366662E-10</v>
      </c>
      <c r="L248" s="153">
        <v>7.9150658088312331E-10</v>
      </c>
      <c r="M248" s="27"/>
      <c r="U248" s="127">
        <v>1.465382380318575E-9</v>
      </c>
      <c r="V248" s="127">
        <v>7.9150658088312331E-10</v>
      </c>
      <c r="W248" s="127">
        <v>2.070373162766945E-9</v>
      </c>
      <c r="X248" s="128">
        <f t="shared" si="6"/>
        <v>1.2796921762129417E-9</v>
      </c>
      <c r="Y248" s="139">
        <f t="shared" si="7"/>
        <v>0.66681018900616118</v>
      </c>
      <c r="AA248" s="73"/>
      <c r="AB248" s="176"/>
      <c r="AC248" s="176"/>
      <c r="AD248" s="176"/>
      <c r="AJ248" s="135"/>
    </row>
    <row r="249" spans="9:36" x14ac:dyDescent="0.35">
      <c r="I249" s="49">
        <v>9.7477740384400005E-2</v>
      </c>
      <c r="J249" s="49">
        <v>1.4061438565215956E-9</v>
      </c>
      <c r="K249" s="49">
        <v>1.5342239929360871E-10</v>
      </c>
      <c r="L249" s="153">
        <v>1.4563290309510386E-9</v>
      </c>
      <c r="M249" s="27"/>
      <c r="U249" s="127">
        <v>8.1617983786304059E-10</v>
      </c>
      <c r="V249" s="127">
        <v>1.4563290309510386E-9</v>
      </c>
      <c r="W249" s="127">
        <v>2.1201518714646319E-9</v>
      </c>
      <c r="X249" s="128">
        <f t="shared" si="6"/>
        <v>1.4622474428074375E-9</v>
      </c>
      <c r="Y249" s="139">
        <f t="shared" si="7"/>
        <v>0.13372225954685246</v>
      </c>
      <c r="AA249" s="73"/>
      <c r="AB249" s="176"/>
      <c r="AC249" s="176"/>
      <c r="AD249" s="176"/>
      <c r="AJ249" s="135"/>
    </row>
    <row r="250" spans="9:36" x14ac:dyDescent="0.35">
      <c r="I250" s="49">
        <v>9.8452517788299998E-2</v>
      </c>
      <c r="J250" s="49">
        <v>1.7867216739085982E-9</v>
      </c>
      <c r="K250" s="49">
        <v>1.6862562550649736E-10</v>
      </c>
      <c r="L250" s="153">
        <v>2.1367985605409543E-9</v>
      </c>
      <c r="M250" s="27"/>
      <c r="U250" s="127">
        <v>8.245261441984431E-10</v>
      </c>
      <c r="V250" s="127">
        <v>2.1367985605409543E-9</v>
      </c>
      <c r="W250" s="127">
        <v>1.4808509283676084E-9</v>
      </c>
      <c r="X250" s="128">
        <f t="shared" si="6"/>
        <v>1.64474354841199E-9</v>
      </c>
      <c r="Y250" s="139">
        <f t="shared" si="7"/>
        <v>0.70891755119619493</v>
      </c>
      <c r="AA250" s="73"/>
      <c r="AB250" s="176"/>
      <c r="AC250" s="176"/>
      <c r="AD250" s="176"/>
      <c r="AJ250" s="135"/>
    </row>
    <row r="251" spans="9:36" x14ac:dyDescent="0.35">
      <c r="I251" s="49">
        <v>9.9437042966199998E-2</v>
      </c>
      <c r="J251" s="49">
        <v>1.5941929522345806E-9</v>
      </c>
      <c r="K251" s="49">
        <v>1.6054360951285604E-10</v>
      </c>
      <c r="L251" s="153">
        <v>2.1359627528433488E-9</v>
      </c>
      <c r="M251" s="27"/>
      <c r="U251" s="127">
        <v>1.507672071877726E-9</v>
      </c>
      <c r="V251" s="127">
        <v>2.1359627528433488E-9</v>
      </c>
      <c r="W251" s="127">
        <v>8.5733314875913917E-10</v>
      </c>
      <c r="X251" s="128">
        <f t="shared" si="6"/>
        <v>1.6592326815808906E-9</v>
      </c>
      <c r="Y251" s="139">
        <f t="shared" si="7"/>
        <v>0.16412373986766812</v>
      </c>
      <c r="AA251" s="73"/>
      <c r="AB251" s="176"/>
      <c r="AC251" s="176"/>
      <c r="AD251" s="176"/>
      <c r="AJ251" s="135"/>
    </row>
    <row r="252" spans="9:36" x14ac:dyDescent="0.35">
      <c r="I252" s="49">
        <v>0.10043141339599999</v>
      </c>
      <c r="J252" s="49">
        <v>1.617816682514907E-9</v>
      </c>
      <c r="K252" s="49">
        <v>1.816472840213365E-10</v>
      </c>
      <c r="L252" s="153">
        <v>1.4645964091361137E-9</v>
      </c>
      <c r="M252" s="27"/>
      <c r="U252" s="127">
        <v>2.1869375599867384E-9</v>
      </c>
      <c r="V252" s="127">
        <v>1.4645964091361137E-9</v>
      </c>
      <c r="W252" s="127">
        <v>9.5767025855415796E-10</v>
      </c>
      <c r="X252" s="128">
        <f t="shared" si="6"/>
        <v>1.5184501592032809E-9</v>
      </c>
      <c r="Y252" s="139">
        <f t="shared" si="7"/>
        <v>0.29924187831979465</v>
      </c>
      <c r="AA252" s="73"/>
      <c r="AB252" s="176"/>
      <c r="AC252" s="176"/>
      <c r="AD252" s="176"/>
      <c r="AJ252" s="135"/>
    </row>
    <row r="253" spans="9:36" x14ac:dyDescent="0.35">
      <c r="I253" s="49">
        <v>0.10143572753000001</v>
      </c>
      <c r="J253" s="49">
        <v>1.6174312713325567E-9</v>
      </c>
      <c r="K253" s="49">
        <v>1.8421187337309464E-10</v>
      </c>
      <c r="L253" s="153">
        <v>8.6341549054607856E-10</v>
      </c>
      <c r="M253" s="27"/>
      <c r="U253" s="127">
        <v>2.167268680883402E-9</v>
      </c>
      <c r="V253" s="127">
        <v>8.6341549054607856E-10</v>
      </c>
      <c r="W253" s="127">
        <v>1.6952403339135001E-9</v>
      </c>
      <c r="X253" s="128">
        <f t="shared" si="6"/>
        <v>1.3973349989722648E-9</v>
      </c>
      <c r="Y253" s="139">
        <f t="shared" si="7"/>
        <v>1.4275460807727482</v>
      </c>
      <c r="AA253" s="73"/>
      <c r="AB253" s="176"/>
      <c r="AC253" s="176"/>
      <c r="AD253" s="176"/>
      <c r="AJ253" s="135"/>
    </row>
    <row r="254" spans="9:36" x14ac:dyDescent="0.35">
      <c r="I254" s="49">
        <v>0.10245008480499999</v>
      </c>
      <c r="J254" s="49">
        <v>1.470151592966309E-9</v>
      </c>
      <c r="K254" s="49">
        <v>1.853479315685311E-10</v>
      </c>
      <c r="L254" s="153">
        <v>1.0166816115007126E-9</v>
      </c>
      <c r="M254" s="27"/>
      <c r="U254" s="127">
        <v>1.4801284628121487E-9</v>
      </c>
      <c r="V254" s="127">
        <v>1.0166816115007126E-9</v>
      </c>
      <c r="W254" s="127">
        <v>2.2517127349895136E-9</v>
      </c>
      <c r="X254" s="128">
        <f t="shared" si="6"/>
        <v>1.4413011052007719E-9</v>
      </c>
      <c r="Y254" s="139">
        <f t="shared" si="7"/>
        <v>2.422874016494787E-2</v>
      </c>
      <c r="AA254" s="73"/>
      <c r="AB254" s="176"/>
      <c r="AC254" s="176"/>
      <c r="AD254" s="176"/>
      <c r="AJ254" s="135"/>
    </row>
    <row r="255" spans="9:36" x14ac:dyDescent="0.35">
      <c r="I255" s="49">
        <v>0.103474585653</v>
      </c>
      <c r="J255" s="49">
        <v>1.5565873061507366E-9</v>
      </c>
      <c r="K255" s="49">
        <v>1.8607987148386039E-10</v>
      </c>
      <c r="L255" s="153">
        <v>1.7784118378038872E-9</v>
      </c>
      <c r="M255" s="27"/>
      <c r="U255" s="127">
        <v>8.8363082660234245E-10</v>
      </c>
      <c r="V255" s="127">
        <v>1.7784118378038872E-9</v>
      </c>
      <c r="W255" s="127">
        <v>1.9984608751486948E-9</v>
      </c>
      <c r="X255" s="128">
        <f t="shared" ref="X255:X277" si="8">(U255+2*V255+W255)/4</f>
        <v>1.609728844339703E-9</v>
      </c>
      <c r="Y255" s="139">
        <f t="shared" ref="Y255:Y277" si="9">(J255-X255)*(J255-X255)/(K255*K255)</f>
        <v>8.1558540807232932E-2</v>
      </c>
      <c r="AA255" s="73"/>
      <c r="AB255" s="176"/>
      <c r="AC255" s="176"/>
      <c r="AD255" s="176"/>
      <c r="AJ255" s="135"/>
    </row>
    <row r="256" spans="9:36" x14ac:dyDescent="0.35">
      <c r="I256" s="49">
        <v>0.10450933151</v>
      </c>
      <c r="J256" s="49">
        <v>1.9084817579033974E-9</v>
      </c>
      <c r="K256" s="49">
        <v>2.0677533519969674E-10</v>
      </c>
      <c r="L256" s="153">
        <v>2.3023533827939218E-9</v>
      </c>
      <c r="M256" s="27"/>
      <c r="U256" s="127">
        <v>1.0568313939258326E-9</v>
      </c>
      <c r="V256" s="127">
        <v>2.3023533827939218E-9</v>
      </c>
      <c r="W256" s="127">
        <v>1.2501749388956063E-9</v>
      </c>
      <c r="X256" s="128">
        <f t="shared" si="8"/>
        <v>1.7279282746023206E-9</v>
      </c>
      <c r="Y256" s="139">
        <f t="shared" si="9"/>
        <v>0.76245510356715351</v>
      </c>
      <c r="AA256" s="73"/>
      <c r="AB256" s="176"/>
      <c r="AC256" s="176"/>
      <c r="AD256" s="176"/>
      <c r="AJ256" s="135"/>
    </row>
    <row r="257" spans="9:36" x14ac:dyDescent="0.35">
      <c r="I257" s="49">
        <v>0.10555442482500001</v>
      </c>
      <c r="J257" s="49">
        <v>2.0899051301357406E-9</v>
      </c>
      <c r="K257" s="49">
        <v>2.2477707981952345E-10</v>
      </c>
      <c r="L257" s="153">
        <v>1.9977989049871107E-9</v>
      </c>
      <c r="M257" s="27"/>
      <c r="U257" s="127">
        <v>1.8313737041908254E-9</v>
      </c>
      <c r="V257" s="127">
        <v>1.9977989049871107E-9</v>
      </c>
      <c r="W257" s="127">
        <v>9.2544494708870742E-10</v>
      </c>
      <c r="X257" s="128">
        <f t="shared" si="8"/>
        <v>1.6881041153134386E-9</v>
      </c>
      <c r="Y257" s="139">
        <f t="shared" si="9"/>
        <v>3.1953468643836462</v>
      </c>
      <c r="AA257" s="73"/>
      <c r="AB257" s="176"/>
      <c r="AC257" s="176"/>
      <c r="AD257" s="176"/>
      <c r="AJ257" s="136"/>
    </row>
    <row r="258" spans="9:36" x14ac:dyDescent="0.35">
      <c r="I258" s="49">
        <v>0.10660996907299999</v>
      </c>
      <c r="J258" s="49">
        <v>1.2256675347156906E-9</v>
      </c>
      <c r="K258" s="49">
        <v>1.8093821156315421E-10</v>
      </c>
      <c r="L258" s="153">
        <v>1.2408740303895982E-9</v>
      </c>
      <c r="M258" s="27"/>
      <c r="U258" s="127">
        <v>2.346794978401678E-9</v>
      </c>
      <c r="V258" s="127">
        <v>1.2408740303895982E-9</v>
      </c>
      <c r="W258" s="127">
        <v>1.4453400423122112E-9</v>
      </c>
      <c r="X258" s="128">
        <f t="shared" si="8"/>
        <v>1.5684707703732714E-9</v>
      </c>
      <c r="Y258" s="139">
        <f t="shared" si="9"/>
        <v>3.5894609942924713</v>
      </c>
      <c r="AA258" s="73"/>
      <c r="AB258" s="176"/>
      <c r="AC258" s="176"/>
      <c r="AD258" s="176"/>
      <c r="AJ258" s="136"/>
    </row>
    <row r="259" spans="9:36" x14ac:dyDescent="0.35">
      <c r="I259" s="49">
        <v>0.107676068764</v>
      </c>
      <c r="J259" s="49">
        <v>1.666611937087117E-9</v>
      </c>
      <c r="K259" s="49">
        <v>2.0086755789068635E-10</v>
      </c>
      <c r="L259" s="153">
        <v>9.6133727609554992E-10</v>
      </c>
      <c r="M259" s="27"/>
      <c r="U259" s="127">
        <v>2.0230246503518526E-9</v>
      </c>
      <c r="V259" s="127">
        <v>9.6133727609554992E-10</v>
      </c>
      <c r="W259" s="127">
        <v>2.1884045597192694E-9</v>
      </c>
      <c r="X259" s="128">
        <f t="shared" si="8"/>
        <v>1.5335259405655557E-9</v>
      </c>
      <c r="Y259" s="139">
        <f t="shared" si="9"/>
        <v>0.43898039267989197</v>
      </c>
      <c r="AA259" s="73"/>
      <c r="AB259" s="176"/>
      <c r="AC259" s="176"/>
      <c r="AD259" s="176"/>
      <c r="AJ259" s="136"/>
    </row>
    <row r="260" spans="9:36" x14ac:dyDescent="0.35">
      <c r="I260" s="49">
        <v>0.108752829451</v>
      </c>
      <c r="J260" s="49">
        <v>1.5233590396916991E-9</v>
      </c>
      <c r="K260" s="49">
        <v>2.0958379559757496E-10</v>
      </c>
      <c r="L260" s="153">
        <v>1.5250438540294273E-9</v>
      </c>
      <c r="M260" s="27"/>
      <c r="U260" s="127">
        <v>1.2593961003440923E-9</v>
      </c>
      <c r="V260" s="127">
        <v>1.5250438540294273E-9</v>
      </c>
      <c r="W260" s="127">
        <v>2.2378674694344123E-9</v>
      </c>
      <c r="X260" s="128">
        <f t="shared" si="8"/>
        <v>1.6368378194593398E-9</v>
      </c>
      <c r="Y260" s="139">
        <f t="shared" si="9"/>
        <v>0.29316620956186429</v>
      </c>
      <c r="AA260" s="73"/>
      <c r="AB260" s="176"/>
      <c r="AC260" s="176"/>
      <c r="AD260" s="176"/>
      <c r="AJ260" s="136"/>
    </row>
    <row r="261" spans="9:36" x14ac:dyDescent="0.35">
      <c r="I261" s="49">
        <v>0.109840357746</v>
      </c>
      <c r="J261" s="49">
        <v>1.9598856778789448E-9</v>
      </c>
      <c r="K261" s="49">
        <v>2.3789863658320854E-10</v>
      </c>
      <c r="L261" s="153">
        <v>2.2556101036329167E-9</v>
      </c>
      <c r="M261" s="27"/>
      <c r="U261" s="127">
        <v>9.935926621736544E-10</v>
      </c>
      <c r="V261" s="127">
        <v>2.2556101036329167E-9</v>
      </c>
      <c r="W261" s="127">
        <v>1.5521160474587415E-9</v>
      </c>
      <c r="X261" s="128">
        <f t="shared" si="8"/>
        <v>1.7642322292245575E-9</v>
      </c>
      <c r="Y261" s="139">
        <f t="shared" si="9"/>
        <v>0.67638054686562576</v>
      </c>
      <c r="AA261" s="73"/>
      <c r="AB261" s="176"/>
      <c r="AC261" s="176"/>
      <c r="AD261" s="176"/>
      <c r="AJ261" s="136"/>
    </row>
    <row r="262" spans="9:36" x14ac:dyDescent="0.35">
      <c r="I262" s="49">
        <v>0.110938761323</v>
      </c>
      <c r="J262" s="49">
        <v>1.6322995134472817E-9</v>
      </c>
      <c r="K262" s="49">
        <v>2.1639491137352272E-10</v>
      </c>
      <c r="L262" s="153">
        <v>2.25203930655612E-9</v>
      </c>
      <c r="M262" s="27"/>
      <c r="U262" s="127">
        <v>1.5742249428175664E-9</v>
      </c>
      <c r="V262" s="127">
        <v>2.25203930655612E-9</v>
      </c>
      <c r="W262" s="127">
        <v>1.0510939941011256E-9</v>
      </c>
      <c r="X262" s="128">
        <f t="shared" si="8"/>
        <v>1.7823493875077331E-9</v>
      </c>
      <c r="Y262" s="139">
        <f t="shared" si="9"/>
        <v>0.48081408636098638</v>
      </c>
      <c r="AA262" s="73"/>
      <c r="AB262" s="176"/>
      <c r="AC262" s="176"/>
      <c r="AD262" s="176"/>
      <c r="AJ262" s="136"/>
    </row>
    <row r="263" spans="9:36" x14ac:dyDescent="0.35">
      <c r="I263" s="49">
        <v>0.11204814893700001</v>
      </c>
      <c r="J263" s="49">
        <v>1.6847223315239564E-9</v>
      </c>
      <c r="K263" s="49">
        <v>2.2246832985917396E-10</v>
      </c>
      <c r="L263" s="153">
        <v>1.5415873142786346E-9</v>
      </c>
      <c r="M263" s="27"/>
      <c r="U263" s="127">
        <v>2.3038217979925941E-9</v>
      </c>
      <c r="V263" s="127">
        <v>1.5415873142786346E-9</v>
      </c>
      <c r="W263" s="127">
        <v>1.4245978319099363E-9</v>
      </c>
      <c r="X263" s="128">
        <f t="shared" si="8"/>
        <v>1.70289856461495E-9</v>
      </c>
      <c r="Y263" s="139">
        <f t="shared" si="9"/>
        <v>6.6753090616445089E-3</v>
      </c>
      <c r="AA263" s="73"/>
      <c r="AB263" s="176"/>
      <c r="AC263" s="176"/>
      <c r="AD263" s="176"/>
      <c r="AJ263" s="136"/>
    </row>
    <row r="264" spans="9:36" x14ac:dyDescent="0.35">
      <c r="I264" s="49">
        <v>0.11316863042600001</v>
      </c>
      <c r="J264" s="49">
        <v>1.3679579314836901E-9</v>
      </c>
      <c r="K264" s="49">
        <v>2.1277273466217317E-10</v>
      </c>
      <c r="L264" s="153">
        <v>1.0770416566652083E-9</v>
      </c>
      <c r="M264" s="27"/>
      <c r="U264" s="127">
        <v>2.2832253709344312E-9</v>
      </c>
      <c r="V264" s="127">
        <v>1.0770416566652083E-9</v>
      </c>
      <c r="W264" s="127">
        <v>2.190392948699771E-9</v>
      </c>
      <c r="X264" s="128">
        <f t="shared" si="8"/>
        <v>1.6569254082411547E-9</v>
      </c>
      <c r="Y264" s="139">
        <f t="shared" si="9"/>
        <v>1.8444461521206674</v>
      </c>
      <c r="AA264" s="73"/>
      <c r="AB264" s="176"/>
      <c r="AC264" s="176"/>
      <c r="AD264" s="176"/>
      <c r="AJ264" s="136"/>
    </row>
    <row r="265" spans="9:36" x14ac:dyDescent="0.35">
      <c r="I265" s="49">
        <v>0.11430031673</v>
      </c>
      <c r="J265" s="49">
        <v>2.0149196861631959E-9</v>
      </c>
      <c r="K265" s="49">
        <v>2.5410791756339124E-10</v>
      </c>
      <c r="L265" s="153">
        <v>1.499336335055673E-9</v>
      </c>
      <c r="M265" s="27"/>
      <c r="U265" s="127">
        <v>1.5621825067092384E-9</v>
      </c>
      <c r="V265" s="127">
        <v>1.499336335055673E-9</v>
      </c>
      <c r="W265" s="127">
        <v>2.3199381221792301E-9</v>
      </c>
      <c r="X265" s="128">
        <f t="shared" si="8"/>
        <v>1.7201983247499538E-9</v>
      </c>
      <c r="Y265" s="139">
        <f t="shared" si="9"/>
        <v>1.3451999270261679</v>
      </c>
      <c r="AA265" s="73"/>
      <c r="AB265" s="176"/>
      <c r="AC265" s="176"/>
      <c r="AD265" s="176"/>
      <c r="AJ265" s="136"/>
    </row>
    <row r="266" spans="9:36" x14ac:dyDescent="0.35">
      <c r="I266" s="49">
        <v>0.115443319898</v>
      </c>
      <c r="J266" s="49">
        <v>1.8467969961369501E-9</v>
      </c>
      <c r="K266" s="49">
        <v>2.4602073439259038E-10</v>
      </c>
      <c r="L266" s="153">
        <v>2.2594876007255401E-9</v>
      </c>
      <c r="M266" s="27"/>
      <c r="U266" s="127">
        <v>1.107092558099482E-9</v>
      </c>
      <c r="V266" s="127">
        <v>2.2594876007255401E-9</v>
      </c>
      <c r="W266" s="127">
        <v>1.6603112931333428E-9</v>
      </c>
      <c r="X266" s="128">
        <f t="shared" si="8"/>
        <v>1.8215947631709762E-9</v>
      </c>
      <c r="Y266" s="139">
        <f t="shared" si="9"/>
        <v>1.0493844452415111E-2</v>
      </c>
      <c r="AA266" s="73"/>
      <c r="AB266" s="176"/>
      <c r="AC266" s="176"/>
      <c r="AD266" s="176"/>
      <c r="AJ266" s="136"/>
    </row>
    <row r="267" spans="9:36" x14ac:dyDescent="0.35">
      <c r="I267" s="49">
        <v>0.116597753096</v>
      </c>
      <c r="J267" s="49">
        <v>1.5301914613753792E-9</v>
      </c>
      <c r="K267" s="49">
        <v>2.4176018532391219E-10</v>
      </c>
      <c r="L267" s="152">
        <v>2.3366203289456857E-9</v>
      </c>
      <c r="M267" s="34"/>
      <c r="U267" s="127">
        <v>1.5453938338656128E-9</v>
      </c>
      <c r="V267" s="127">
        <v>2.3366203289456857E-9</v>
      </c>
      <c r="W267" s="127">
        <v>1.1774775497564083E-9</v>
      </c>
      <c r="X267" s="128">
        <f t="shared" si="8"/>
        <v>1.8490280103783481E-9</v>
      </c>
      <c r="Y267" s="139">
        <f t="shared" si="9"/>
        <v>1.7392685332107587</v>
      </c>
      <c r="AA267" s="73"/>
      <c r="AB267" s="176"/>
      <c r="AC267" s="176"/>
      <c r="AD267" s="176"/>
      <c r="AJ267" s="136"/>
    </row>
    <row r="268" spans="9:36" x14ac:dyDescent="0.35">
      <c r="I268" s="49">
        <v>0.117763730627</v>
      </c>
      <c r="J268" s="49">
        <v>1.7507163960722625E-9</v>
      </c>
      <c r="K268" s="49">
        <v>2.5291605905757019E-10</v>
      </c>
      <c r="L268" s="152">
        <v>1.6516836667836013E-9</v>
      </c>
      <c r="M268" s="34"/>
      <c r="U268" s="127">
        <v>2.3059007619794343E-9</v>
      </c>
      <c r="V268" s="127">
        <v>1.6516836667836013E-9</v>
      </c>
      <c r="W268" s="127">
        <v>1.5919087191796778E-9</v>
      </c>
      <c r="X268" s="128">
        <f t="shared" si="8"/>
        <v>1.8002942036815785E-9</v>
      </c>
      <c r="Y268" s="139">
        <f t="shared" si="9"/>
        <v>3.8425703173039213E-2</v>
      </c>
      <c r="AA268" s="73"/>
      <c r="AB268" s="176"/>
      <c r="AC268" s="176"/>
      <c r="AD268" s="176"/>
      <c r="AJ268" s="136"/>
    </row>
    <row r="269" spans="9:36" x14ac:dyDescent="0.35">
      <c r="I269" s="49">
        <v>0.11894136793399999</v>
      </c>
      <c r="J269" s="49">
        <v>1.8686206779942233E-9</v>
      </c>
      <c r="K269" s="49">
        <v>2.7691887124816834E-10</v>
      </c>
      <c r="L269" s="152">
        <v>1.2066719140530187E-9</v>
      </c>
      <c r="M269" s="33"/>
      <c r="U269" s="127">
        <v>2.3676102016862518E-9</v>
      </c>
      <c r="V269" s="127">
        <v>1.2066719140530187E-9</v>
      </c>
      <c r="W269" s="127">
        <v>2.3141424210740966E-9</v>
      </c>
      <c r="X269" s="128">
        <f t="shared" si="8"/>
        <v>1.7737741127165965E-9</v>
      </c>
      <c r="Y269" s="139">
        <f t="shared" si="9"/>
        <v>0.11731083093318841</v>
      </c>
      <c r="AA269" s="73"/>
      <c r="AB269" s="176"/>
      <c r="AC269" s="176"/>
      <c r="AD269" s="176"/>
      <c r="AJ269" s="136"/>
    </row>
    <row r="270" spans="9:36" x14ac:dyDescent="0.35">
      <c r="I270" s="49">
        <v>0.120130781613</v>
      </c>
      <c r="J270" s="49">
        <v>1.623756426171647E-9</v>
      </c>
      <c r="K270" s="49">
        <v>2.7529358308317859E-10</v>
      </c>
      <c r="L270" s="152">
        <v>1.666295187594304E-9</v>
      </c>
      <c r="M270" s="34"/>
      <c r="U270" s="127">
        <v>1.6734876417471515E-9</v>
      </c>
      <c r="V270" s="127">
        <v>1.666295187594304E-9</v>
      </c>
      <c r="W270" s="127">
        <v>2.2914891999967708E-9</v>
      </c>
      <c r="X270" s="128">
        <f t="shared" si="8"/>
        <v>1.8243918042331325E-9</v>
      </c>
      <c r="Y270" s="139">
        <f t="shared" si="9"/>
        <v>0.53115693050966095</v>
      </c>
      <c r="AA270" s="73"/>
      <c r="AB270" s="176"/>
      <c r="AC270" s="176"/>
      <c r="AD270" s="176"/>
      <c r="AJ270" s="136"/>
    </row>
    <row r="271" spans="9:36" x14ac:dyDescent="0.35">
      <c r="I271" s="49">
        <v>0.12133208942900001</v>
      </c>
      <c r="J271" s="49">
        <v>1.6175464380326935E-9</v>
      </c>
      <c r="K271" s="49">
        <v>2.6339797766801163E-10</v>
      </c>
      <c r="L271" s="152">
        <v>2.3735475111892105E-9</v>
      </c>
      <c r="M271" s="35"/>
      <c r="U271" s="127">
        <v>1.2379606284461981E-9</v>
      </c>
      <c r="V271" s="127">
        <v>2.3735475111892105E-9</v>
      </c>
      <c r="W271" s="127">
        <v>1.5929538779712679E-9</v>
      </c>
      <c r="X271" s="128">
        <f t="shared" si="8"/>
        <v>1.8945023821989714E-9</v>
      </c>
      <c r="Y271" s="139">
        <f t="shared" si="9"/>
        <v>1.1055961275535471</v>
      </c>
      <c r="AA271" s="73"/>
      <c r="AB271" s="176"/>
      <c r="AC271" s="176"/>
      <c r="AD271" s="176"/>
      <c r="AJ271" s="136"/>
    </row>
    <row r="272" spans="9:36" x14ac:dyDescent="0.35">
      <c r="I272" s="49">
        <v>0.122545410323</v>
      </c>
      <c r="J272" s="49">
        <v>1.7402316524364586E-9</v>
      </c>
      <c r="K272" s="49">
        <v>2.6949656724033639E-10</v>
      </c>
      <c r="L272" s="152">
        <v>2.2981040510918042E-9</v>
      </c>
      <c r="M272" s="34"/>
      <c r="U272" s="127">
        <v>1.7105217111670515E-9</v>
      </c>
      <c r="V272" s="127">
        <v>2.2981040510918042E-9</v>
      </c>
      <c r="W272" s="127">
        <v>1.327297731201734E-9</v>
      </c>
      <c r="X272" s="128">
        <f t="shared" si="8"/>
        <v>1.9085068861380985E-9</v>
      </c>
      <c r="Y272" s="139">
        <f t="shared" si="9"/>
        <v>0.38988266811778699</v>
      </c>
      <c r="AA272" s="73"/>
      <c r="AB272" s="176"/>
      <c r="AC272" s="176"/>
      <c r="AD272" s="176"/>
      <c r="AJ272" s="136"/>
    </row>
    <row r="273" spans="9:36" x14ac:dyDescent="0.35">
      <c r="I273" s="49">
        <v>0.123770864427</v>
      </c>
      <c r="J273" s="49">
        <v>1.4465362760846992E-9</v>
      </c>
      <c r="K273" s="49">
        <v>2.7440444508624775E-10</v>
      </c>
      <c r="L273" s="152">
        <v>1.589464181752407E-9</v>
      </c>
      <c r="M273" s="33"/>
      <c r="U273" s="127">
        <v>2.4141729068263265E-9</v>
      </c>
      <c r="V273" s="127">
        <v>1.589464181752407E-9</v>
      </c>
      <c r="W273" s="127">
        <v>1.9290549803928466E-9</v>
      </c>
      <c r="X273" s="128">
        <f t="shared" si="8"/>
        <v>1.8805390626809967E-9</v>
      </c>
      <c r="Y273" s="139">
        <f t="shared" si="9"/>
        <v>2.5015129268903546</v>
      </c>
      <c r="AA273" s="73"/>
      <c r="AB273" s="176"/>
      <c r="AC273" s="176"/>
      <c r="AD273" s="176"/>
      <c r="AJ273" s="136"/>
    </row>
    <row r="274" spans="9:36" x14ac:dyDescent="0.35">
      <c r="I274" s="49">
        <v>0.125008573071</v>
      </c>
      <c r="J274" s="49">
        <v>1.5160687612481564E-9</v>
      </c>
      <c r="K274" s="49">
        <v>2.7419724446518314E-10</v>
      </c>
      <c r="L274" s="152">
        <v>1.3710012025063658E-9</v>
      </c>
      <c r="M274" s="34"/>
      <c r="U274" s="127">
        <v>2.3240872554726029E-9</v>
      </c>
      <c r="V274" s="127">
        <v>1.3710012025063658E-9</v>
      </c>
      <c r="W274" s="127">
        <v>2.4554619016912542E-9</v>
      </c>
      <c r="X274" s="128">
        <f t="shared" si="8"/>
        <v>1.8803878905441474E-9</v>
      </c>
      <c r="Y274" s="139">
        <f t="shared" si="9"/>
        <v>1.7653782781260769</v>
      </c>
      <c r="AA274" s="73"/>
      <c r="AB274" s="176"/>
      <c r="AC274" s="176"/>
      <c r="AD274" s="176"/>
      <c r="AJ274" s="136"/>
    </row>
    <row r="275" spans="9:36" x14ac:dyDescent="0.35">
      <c r="I275" s="49">
        <v>0.12625865880199999</v>
      </c>
      <c r="J275" s="49">
        <v>1.9601736196400944E-9</v>
      </c>
      <c r="K275" s="49">
        <v>3.3354174876425126E-10</v>
      </c>
      <c r="L275" s="152">
        <v>2.0011363509028925E-9</v>
      </c>
      <c r="M275" s="34"/>
      <c r="U275" s="127">
        <v>1.6119512779294463E-9</v>
      </c>
      <c r="V275" s="127">
        <v>2.0011363509028925E-9</v>
      </c>
      <c r="W275" s="127">
        <v>2.0855492652745144E-9</v>
      </c>
      <c r="X275" s="128">
        <f t="shared" si="8"/>
        <v>1.9249433112524365E-9</v>
      </c>
      <c r="Y275" s="139">
        <f t="shared" si="9"/>
        <v>1.1156616034686035E-2</v>
      </c>
      <c r="AA275" s="73"/>
      <c r="AB275" s="176"/>
      <c r="AC275" s="176"/>
      <c r="AD275" s="176"/>
      <c r="AJ275" s="136"/>
    </row>
    <row r="276" spans="9:36" x14ac:dyDescent="0.35">
      <c r="I276" s="49">
        <v>0.12752124539000001</v>
      </c>
      <c r="J276" s="49">
        <v>1.4642513791981031E-9</v>
      </c>
      <c r="K276" s="49">
        <v>2.8204506497017529E-10</v>
      </c>
      <c r="L276" s="152">
        <v>2.4906749461096848E-9</v>
      </c>
      <c r="M276" s="33"/>
      <c r="U276" s="127">
        <v>1.4050341966364623E-9</v>
      </c>
      <c r="V276" s="127">
        <v>2.4906749461096848E-9</v>
      </c>
      <c r="W276" s="127">
        <v>1.4680458900245559E-9</v>
      </c>
      <c r="X276" s="128">
        <f t="shared" si="8"/>
        <v>1.9636074947200971E-9</v>
      </c>
      <c r="Y276" s="139">
        <f t="shared" si="9"/>
        <v>3.1346115944731543</v>
      </c>
      <c r="AA276" s="73"/>
      <c r="AB276" s="176"/>
      <c r="AC276" s="176"/>
      <c r="AD276" s="176"/>
      <c r="AJ276" s="136"/>
    </row>
    <row r="277" spans="9:36" x14ac:dyDescent="0.35">
      <c r="I277" s="49">
        <v>0.12879645784400001</v>
      </c>
      <c r="J277" s="49">
        <v>1.2939112983463414E-9</v>
      </c>
      <c r="K277" s="49">
        <v>2.9318327328542956E-10</v>
      </c>
      <c r="L277" s="152">
        <v>2.0785181278340236E-9</v>
      </c>
      <c r="M277" s="34"/>
      <c r="U277" s="127">
        <v>2.0414428492830801E-9</v>
      </c>
      <c r="V277" s="127">
        <v>2.0785181278340236E-9</v>
      </c>
      <c r="W277" s="127">
        <v>1.6601077288073439E-9</v>
      </c>
      <c r="X277" s="128">
        <f t="shared" si="8"/>
        <v>1.9646467084396175E-9</v>
      </c>
      <c r="Y277" s="139">
        <f t="shared" si="9"/>
        <v>5.2338839720956551</v>
      </c>
      <c r="AA277" s="73"/>
      <c r="AB277" s="176"/>
      <c r="AC277" s="176"/>
      <c r="AD277" s="176"/>
      <c r="AJ277" s="136"/>
    </row>
    <row r="278" spans="9:36" x14ac:dyDescent="0.35">
      <c r="I278" s="49">
        <v>0.130084422422</v>
      </c>
      <c r="J278" s="49">
        <v>2.0449365984433709E-9</v>
      </c>
      <c r="K278" s="49">
        <v>3.4990477403227848E-10</v>
      </c>
      <c r="L278" s="152">
        <v>1.4822512014450261E-9</v>
      </c>
      <c r="M278" s="34"/>
      <c r="U278" s="127">
        <v>2.5208137219482371E-9</v>
      </c>
      <c r="V278" s="127">
        <v>1.4822512014450261E-9</v>
      </c>
      <c r="W278" s="127">
        <v>2.3440368360207915E-9</v>
      </c>
      <c r="X278" s="128">
        <f t="shared" ref="X278:X279" si="10">(U278+2*V278+W278)/4</f>
        <v>1.9573382402147702E-9</v>
      </c>
      <c r="Y278" s="139">
        <f t="shared" ref="Y278:Y279" si="11">(J278-X278)*(J278-X278)/(K278*K278)</f>
        <v>6.2674690421600315E-2</v>
      </c>
      <c r="AA278" s="73"/>
      <c r="AB278" s="176"/>
      <c r="AC278" s="176"/>
      <c r="AD278" s="176"/>
      <c r="AJ278" s="136"/>
    </row>
    <row r="279" spans="9:36" x14ac:dyDescent="0.35">
      <c r="I279" s="49">
        <v>0.131385266646</v>
      </c>
      <c r="J279" s="49">
        <v>1.7569464744833605E-9</v>
      </c>
      <c r="K279" s="49">
        <v>3.3129334768042543E-10</v>
      </c>
      <c r="L279" s="152">
        <v>1.7208010798272389E-9</v>
      </c>
      <c r="M279" s="35"/>
      <c r="U279" s="127">
        <v>2.0982999081185242E-9</v>
      </c>
      <c r="V279" s="127">
        <v>1.7208010798272389E-9</v>
      </c>
      <c r="W279" s="127">
        <v>2.3600531472209036E-9</v>
      </c>
      <c r="X279" s="128">
        <f t="shared" si="10"/>
        <v>1.9749888037484765E-9</v>
      </c>
      <c r="Y279" s="139">
        <f t="shared" si="11"/>
        <v>0.43316782929160985</v>
      </c>
      <c r="AA279" s="73"/>
      <c r="AB279" s="176"/>
      <c r="AC279" s="176"/>
      <c r="AD279" s="176"/>
      <c r="AJ279" s="136"/>
    </row>
    <row r="280" spans="9:36" x14ac:dyDescent="0.35">
      <c r="I280" s="49">
        <v>0.13269911931299999</v>
      </c>
      <c r="J280" s="49">
        <v>1.8103581407418964E-9</v>
      </c>
      <c r="K280" s="49">
        <v>3.3532494310126516E-10</v>
      </c>
      <c r="L280" s="152">
        <v>2.3948519230156546E-9</v>
      </c>
      <c r="M280" s="33"/>
      <c r="U280" s="127">
        <v>1.507330970766253E-9</v>
      </c>
      <c r="V280" s="127">
        <v>2.3948519230156546E-9</v>
      </c>
      <c r="W280" s="127">
        <v>1.7221985428350958E-9</v>
      </c>
      <c r="X280" s="128">
        <f t="shared" ref="X280:X317" si="12">(U280+2*V280+W280)/4</f>
        <v>2.0048083399081646E-9</v>
      </c>
      <c r="Y280" s="139">
        <f t="shared" ref="Y280:Y317" si="13">(J280-X280)*(J280-X280)/(K280*K280)</f>
        <v>0.33626763192125914</v>
      </c>
      <c r="AA280" s="73"/>
      <c r="AB280" s="176"/>
      <c r="AC280" s="176"/>
      <c r="AD280" s="176"/>
      <c r="AJ280" s="136"/>
    </row>
    <row r="281" spans="9:36" x14ac:dyDescent="0.35">
      <c r="I281" s="49">
        <v>0.134026110506</v>
      </c>
      <c r="J281" s="49">
        <v>2.0420270820349847E-9</v>
      </c>
      <c r="K281" s="49">
        <v>3.6205866084331696E-10</v>
      </c>
      <c r="L281" s="152">
        <v>2.3610590451119646E-9</v>
      </c>
      <c r="M281" s="34"/>
      <c r="U281" s="127">
        <v>1.75514825607137E-9</v>
      </c>
      <c r="V281" s="127">
        <v>2.3610590451119646E-9</v>
      </c>
      <c r="W281" s="127">
        <v>1.5997077807977616E-9</v>
      </c>
      <c r="X281" s="128">
        <f t="shared" si="12"/>
        <v>2.0192435317732651E-9</v>
      </c>
      <c r="Y281" s="139">
        <f t="shared" si="13"/>
        <v>3.959906366520596E-3</v>
      </c>
      <c r="AA281" s="73"/>
      <c r="AB281" s="176"/>
      <c r="AC281" s="176"/>
      <c r="AD281" s="176"/>
      <c r="AJ281" s="136"/>
    </row>
    <row r="282" spans="9:36" x14ac:dyDescent="0.35">
      <c r="I282" s="49">
        <v>0.13536637161100001</v>
      </c>
      <c r="J282" s="49">
        <v>2.1038350713525485E-9</v>
      </c>
      <c r="K282" s="49">
        <v>3.7803268473333533E-10</v>
      </c>
      <c r="L282" s="152">
        <v>1.7202329504961827E-9</v>
      </c>
      <c r="M282" s="34"/>
      <c r="U282" s="127">
        <v>2.4240907553124375E-9</v>
      </c>
      <c r="V282" s="127">
        <v>1.7202329504961827E-9</v>
      </c>
      <c r="W282" s="127">
        <v>2.2197030875602114E-9</v>
      </c>
      <c r="X282" s="128">
        <f t="shared" si="12"/>
        <v>2.0210649359662535E-9</v>
      </c>
      <c r="Y282" s="139">
        <f t="shared" si="13"/>
        <v>4.7938962411938929E-2</v>
      </c>
      <c r="AA282" s="73"/>
      <c r="AB282" s="176"/>
      <c r="AC282" s="176"/>
      <c r="AD282" s="176"/>
      <c r="AJ282" s="136"/>
    </row>
    <row r="283" spans="9:36" x14ac:dyDescent="0.35">
      <c r="I283" s="49">
        <v>0.136720035327</v>
      </c>
      <c r="J283" s="49">
        <v>1.7607899815159586E-9</v>
      </c>
      <c r="K283" s="49">
        <v>3.5332422504919039E-10</v>
      </c>
      <c r="L283" s="152">
        <v>1.6437530112946183E-9</v>
      </c>
      <c r="M283" s="33"/>
      <c r="U283" s="127">
        <v>2.3784975651344129E-9</v>
      </c>
      <c r="V283" s="127">
        <v>1.6437530112946183E-9</v>
      </c>
      <c r="W283" s="127">
        <v>2.4515548818266155E-9</v>
      </c>
      <c r="X283" s="128">
        <f t="shared" si="12"/>
        <v>2.0293896173875661E-9</v>
      </c>
      <c r="Y283" s="139">
        <f t="shared" si="13"/>
        <v>0.57791505601835269</v>
      </c>
      <c r="AA283" s="73"/>
      <c r="AB283" s="176"/>
      <c r="AC283" s="176"/>
      <c r="AD283" s="176"/>
      <c r="AJ283" s="136"/>
    </row>
    <row r="284" spans="9:36" x14ac:dyDescent="0.35">
      <c r="I284" s="49">
        <v>0.13808723568</v>
      </c>
      <c r="J284" s="49">
        <v>1.6334821702414137E-9</v>
      </c>
      <c r="K284" s="49">
        <v>3.5999098935024097E-10</v>
      </c>
      <c r="L284" s="152">
        <v>2.2714917829318834E-9</v>
      </c>
      <c r="M284" s="34"/>
      <c r="U284" s="127">
        <v>1.7385618351868531E-9</v>
      </c>
      <c r="V284" s="127">
        <v>2.2714917829318834E-9</v>
      </c>
      <c r="W284" s="127">
        <v>1.9010775586398128E-9</v>
      </c>
      <c r="X284" s="128">
        <f t="shared" si="12"/>
        <v>2.0456557399226084E-9</v>
      </c>
      <c r="Y284" s="139">
        <f t="shared" si="13"/>
        <v>1.3109225020605102</v>
      </c>
      <c r="AA284" s="73"/>
      <c r="AB284" s="176"/>
      <c r="AC284" s="176"/>
      <c r="AD284" s="176"/>
      <c r="AJ284" s="136"/>
    </row>
    <row r="285" spans="9:36" x14ac:dyDescent="0.35">
      <c r="I285" s="49">
        <v>0.13946810803699999</v>
      </c>
      <c r="J285" s="49">
        <v>1.6433519827248796E-9</v>
      </c>
      <c r="K285" s="49">
        <v>3.7282017122013798E-10</v>
      </c>
      <c r="L285" s="152">
        <v>2.4569114510482707E-9</v>
      </c>
      <c r="M285" s="34"/>
      <c r="U285" s="127">
        <v>1.6708572197503722E-9</v>
      </c>
      <c r="V285" s="127">
        <v>2.4569114510482707E-9</v>
      </c>
      <c r="W285" s="127">
        <v>1.6490723012929384E-9</v>
      </c>
      <c r="X285" s="128">
        <f t="shared" si="12"/>
        <v>2.0584381057849629E-9</v>
      </c>
      <c r="Y285" s="139">
        <f t="shared" si="13"/>
        <v>1.2395887493985296</v>
      </c>
      <c r="AA285" s="73"/>
      <c r="AB285" s="176"/>
      <c r="AC285" s="176"/>
      <c r="AD285" s="176"/>
      <c r="AJ285" s="136"/>
    </row>
    <row r="286" spans="9:36" x14ac:dyDescent="0.35">
      <c r="I286" s="49">
        <v>0.14086278911700001</v>
      </c>
      <c r="J286" s="49">
        <v>2.0709721836662913E-9</v>
      </c>
      <c r="K286" s="49">
        <v>4.0226463419113413E-10</v>
      </c>
      <c r="L286" s="152">
        <v>1.8916010532961368E-9</v>
      </c>
      <c r="M286" s="34"/>
      <c r="U286" s="127">
        <v>2.2955882936363352E-9</v>
      </c>
      <c r="V286" s="127">
        <v>1.8916010532961368E-9</v>
      </c>
      <c r="W286" s="127">
        <v>2.1830836261682816E-9</v>
      </c>
      <c r="X286" s="128">
        <f t="shared" si="12"/>
        <v>2.0654685065992224E-9</v>
      </c>
      <c r="Y286" s="139">
        <f t="shared" si="13"/>
        <v>1.8718980065449877E-4</v>
      </c>
      <c r="AA286" s="73"/>
      <c r="AB286" s="176"/>
      <c r="AC286" s="176"/>
      <c r="AD286" s="176"/>
      <c r="AJ286" s="136"/>
    </row>
    <row r="287" spans="9:36" x14ac:dyDescent="0.35">
      <c r="I287" s="49">
        <v>0.14227141700900001</v>
      </c>
      <c r="J287" s="49">
        <v>1.0813379173800412E-9</v>
      </c>
      <c r="K287" s="49">
        <v>3.3264661956605254E-10</v>
      </c>
      <c r="L287" s="152">
        <v>1.6806987517903413E-9</v>
      </c>
      <c r="M287" s="33"/>
      <c r="U287" s="127">
        <v>2.469432218391442E-9</v>
      </c>
      <c r="V287" s="127">
        <v>1.6806987517903413E-9</v>
      </c>
      <c r="W287" s="127">
        <v>2.4581817084151015E-9</v>
      </c>
      <c r="X287" s="128">
        <f t="shared" si="12"/>
        <v>2.0722528575968067E-9</v>
      </c>
      <c r="Y287" s="139">
        <f t="shared" si="13"/>
        <v>8.8737364087036621</v>
      </c>
      <c r="AA287" s="73"/>
      <c r="AB287" s="176"/>
      <c r="AC287" s="176"/>
      <c r="AD287" s="176"/>
      <c r="AJ287" s="136"/>
    </row>
    <row r="288" spans="9:36" x14ac:dyDescent="0.35">
      <c r="I288" s="49">
        <v>0.14369413117900001</v>
      </c>
      <c r="J288" s="49">
        <v>1.6698563348559773E-9</v>
      </c>
      <c r="K288" s="49">
        <v>3.7252802568452313E-10</v>
      </c>
      <c r="L288" s="152">
        <v>2.2273818178783513E-9</v>
      </c>
      <c r="M288" s="35"/>
      <c r="U288" s="127">
        <v>1.9036465524342994E-9</v>
      </c>
      <c r="V288" s="127">
        <v>2.2273818178783513E-9</v>
      </c>
      <c r="W288" s="127">
        <v>1.9623417790452807E-9</v>
      </c>
      <c r="X288" s="128">
        <f t="shared" si="12"/>
        <v>2.0801879918090709E-9</v>
      </c>
      <c r="Y288" s="139">
        <f t="shared" si="13"/>
        <v>1.2132551580684496</v>
      </c>
      <c r="AA288" s="73"/>
      <c r="AB288" s="176"/>
      <c r="AC288" s="176"/>
      <c r="AD288" s="176"/>
      <c r="AJ288" s="136"/>
    </row>
    <row r="289" spans="9:36" x14ac:dyDescent="0.35">
      <c r="I289" s="49">
        <v>0.14513107249099999</v>
      </c>
      <c r="J289" s="49">
        <v>2.2490565080867706E-9</v>
      </c>
      <c r="K289" s="49">
        <v>4.3708573628763397E-10</v>
      </c>
      <c r="L289" s="152">
        <v>2.4592961293119349E-9</v>
      </c>
      <c r="M289" s="34"/>
      <c r="U289" s="127">
        <v>1.7004324748129725E-9</v>
      </c>
      <c r="V289" s="127">
        <v>2.4592961293119349E-9</v>
      </c>
      <c r="W289" s="127">
        <v>1.7299476051287531E-9</v>
      </c>
      <c r="X289" s="128">
        <f t="shared" si="12"/>
        <v>2.0872430846413989E-9</v>
      </c>
      <c r="Y289" s="139">
        <f t="shared" si="13"/>
        <v>0.1370552967469533</v>
      </c>
      <c r="AA289" s="73"/>
      <c r="AB289" s="176"/>
      <c r="AC289" s="176"/>
      <c r="AD289" s="176"/>
      <c r="AJ289" s="136"/>
    </row>
    <row r="290" spans="9:36" x14ac:dyDescent="0.35">
      <c r="I290" s="49">
        <v>0.146582383215</v>
      </c>
      <c r="J290" s="49">
        <v>2.3967809726906631E-9</v>
      </c>
      <c r="K290" s="49">
        <v>4.645484024868551E-10</v>
      </c>
      <c r="L290" s="152">
        <v>1.9485180587290418E-9</v>
      </c>
      <c r="M290" s="34"/>
      <c r="U290" s="127">
        <v>2.2433529466846219E-9</v>
      </c>
      <c r="V290" s="127">
        <v>1.9485180587290418E-9</v>
      </c>
      <c r="W290" s="127">
        <v>2.2308790469647771E-9</v>
      </c>
      <c r="X290" s="128">
        <f t="shared" si="12"/>
        <v>2.0928170277768706E-9</v>
      </c>
      <c r="Y290" s="139">
        <f t="shared" si="13"/>
        <v>0.42813644894906278</v>
      </c>
      <c r="AA290" s="73"/>
      <c r="AB290" s="176"/>
      <c r="AC290" s="176"/>
      <c r="AD290" s="176"/>
      <c r="AJ290" s="136"/>
    </row>
    <row r="291" spans="9:36" x14ac:dyDescent="0.35">
      <c r="I291" s="49">
        <v>0.14804820704800001</v>
      </c>
      <c r="J291" s="49">
        <v>1.9901992576811394E-9</v>
      </c>
      <c r="K291" s="49">
        <v>4.3097642369371027E-10</v>
      </c>
      <c r="L291" s="152">
        <v>1.7546027858164542E-9</v>
      </c>
      <c r="M291" s="33"/>
      <c r="U291" s="127">
        <v>2.4639883608669428E-9</v>
      </c>
      <c r="V291" s="127">
        <v>1.7546027858164542E-9</v>
      </c>
      <c r="W291" s="127">
        <v>2.416681641993884E-9</v>
      </c>
      <c r="X291" s="128">
        <f t="shared" si="12"/>
        <v>2.0974688936234337E-9</v>
      </c>
      <c r="Y291" s="139">
        <f t="shared" si="13"/>
        <v>6.1950752698515729E-2</v>
      </c>
      <c r="AA291" s="73"/>
      <c r="AB291" s="176"/>
      <c r="AC291" s="176"/>
      <c r="AD291" s="176"/>
      <c r="AJ291" s="136"/>
    </row>
    <row r="292" spans="9:36" x14ac:dyDescent="0.35">
      <c r="I292" s="49">
        <v>0.14952868911799999</v>
      </c>
      <c r="J292" s="49">
        <v>1.7426788048344034E-9</v>
      </c>
      <c r="K292" s="49">
        <v>4.0864481262564003E-10</v>
      </c>
      <c r="L292" s="152">
        <v>2.2623463810728807E-9</v>
      </c>
      <c r="M292" s="34"/>
      <c r="U292" s="127">
        <v>1.953866545164043E-9</v>
      </c>
      <c r="V292" s="127">
        <v>2.2623463810728807E-9</v>
      </c>
      <c r="W292" s="127">
        <v>1.9268830843362904E-9</v>
      </c>
      <c r="X292" s="128">
        <f t="shared" si="12"/>
        <v>2.1013605979115237E-9</v>
      </c>
      <c r="Y292" s="139">
        <f t="shared" si="13"/>
        <v>0.77041846589017349</v>
      </c>
      <c r="AA292" s="73"/>
      <c r="AB292" s="176"/>
      <c r="AC292" s="176"/>
      <c r="AD292" s="176"/>
      <c r="AJ292" s="136"/>
    </row>
    <row r="293" spans="9:36" x14ac:dyDescent="0.35">
      <c r="I293" s="49">
        <v>0.151023976009</v>
      </c>
      <c r="J293" s="49">
        <v>1.3862477660164363E-9</v>
      </c>
      <c r="K293" s="49">
        <v>3.8964451318353398E-10</v>
      </c>
      <c r="L293" s="152">
        <v>2.4058524562171679E-9</v>
      </c>
      <c r="M293" s="34"/>
      <c r="U293" s="127">
        <v>1.7663570931524626E-9</v>
      </c>
      <c r="V293" s="127">
        <v>2.4058524562171679E-9</v>
      </c>
      <c r="W293" s="127">
        <v>1.8342053971002249E-9</v>
      </c>
      <c r="X293" s="128">
        <f t="shared" si="12"/>
        <v>2.1030668506717559E-9</v>
      </c>
      <c r="Y293" s="139">
        <f t="shared" si="13"/>
        <v>3.3844023574197704</v>
      </c>
      <c r="AA293" s="73"/>
      <c r="AB293" s="176"/>
      <c r="AC293" s="176"/>
      <c r="AD293" s="176"/>
      <c r="AJ293" s="136"/>
    </row>
    <row r="294" spans="9:36" x14ac:dyDescent="0.35">
      <c r="I294" s="49">
        <v>0.152534215769</v>
      </c>
      <c r="J294" s="49">
        <v>2.8761114274769195E-9</v>
      </c>
      <c r="K294" s="49">
        <v>5.0676790012903971E-10</v>
      </c>
      <c r="L294" s="152">
        <v>1.9110180414125158E-9</v>
      </c>
      <c r="M294" s="33"/>
      <c r="U294" s="127">
        <v>2.2673739237967808E-9</v>
      </c>
      <c r="V294" s="127">
        <v>1.9110180414125158E-9</v>
      </c>
      <c r="W294" s="127">
        <v>2.3197301363079861E-9</v>
      </c>
      <c r="X294" s="128">
        <f t="shared" si="12"/>
        <v>2.1022850357324495E-9</v>
      </c>
      <c r="Y294" s="139">
        <f t="shared" si="13"/>
        <v>2.3316796332584677</v>
      </c>
      <c r="AA294" s="73"/>
      <c r="AB294" s="176"/>
      <c r="AC294" s="176"/>
      <c r="AD294" s="176"/>
      <c r="AJ294" s="136"/>
    </row>
    <row r="295" spans="9:36" x14ac:dyDescent="0.35">
      <c r="I295" s="49">
        <v>0.15405955792699999</v>
      </c>
      <c r="J295" s="49">
        <v>1.5131707332405801E-9</v>
      </c>
      <c r="K295" s="49">
        <v>4.4458890660332423E-10</v>
      </c>
      <c r="L295" s="152">
        <v>1.8546408173975666E-9</v>
      </c>
      <c r="M295" s="34"/>
      <c r="U295" s="127">
        <v>2.4006355513810863E-9</v>
      </c>
      <c r="V295" s="127">
        <v>1.8546408173975666E-9</v>
      </c>
      <c r="W295" s="127">
        <v>2.3033544731136412E-9</v>
      </c>
      <c r="X295" s="128">
        <f t="shared" si="12"/>
        <v>2.1033179148224652E-9</v>
      </c>
      <c r="Y295" s="139">
        <f t="shared" si="13"/>
        <v>1.7619899655503699</v>
      </c>
      <c r="AA295" s="73"/>
      <c r="AB295" s="176"/>
      <c r="AC295" s="176"/>
      <c r="AD295" s="176"/>
      <c r="AJ295" s="136"/>
    </row>
    <row r="296" spans="9:36" x14ac:dyDescent="0.35">
      <c r="I296" s="49">
        <v>0.15560015350600001</v>
      </c>
      <c r="J296" s="49">
        <v>1.6367288360664412E-9</v>
      </c>
      <c r="K296" s="49">
        <v>4.7640305978890311E-10</v>
      </c>
      <c r="L296" s="152">
        <v>2.3318858148403367E-9</v>
      </c>
      <c r="M296" s="35"/>
      <c r="U296" s="127">
        <v>1.9094081014611192E-9</v>
      </c>
      <c r="V296" s="127">
        <v>2.3318858148403367E-9</v>
      </c>
      <c r="W296" s="127">
        <v>1.8500148830863698E-9</v>
      </c>
      <c r="X296" s="128">
        <f t="shared" si="12"/>
        <v>2.1057986535570407E-9</v>
      </c>
      <c r="Y296" s="139">
        <f t="shared" si="13"/>
        <v>0.96945106845837203</v>
      </c>
      <c r="AA296" s="73"/>
      <c r="AB296" s="176"/>
      <c r="AC296" s="176"/>
      <c r="AD296" s="176"/>
      <c r="AJ296" s="136"/>
    </row>
    <row r="297" spans="9:36" x14ac:dyDescent="0.35">
      <c r="I297" s="49">
        <v>0.157156155041</v>
      </c>
      <c r="J297" s="49">
        <v>1.2528248382811632E-9</v>
      </c>
      <c r="K297" s="49">
        <v>4.3441815462865447E-10</v>
      </c>
      <c r="L297" s="152">
        <v>2.2772787791532112E-9</v>
      </c>
      <c r="M297" s="34"/>
      <c r="U297" s="127">
        <v>1.8565289082310636E-9</v>
      </c>
      <c r="V297" s="127">
        <v>2.2772787791532112E-9</v>
      </c>
      <c r="W297" s="127">
        <v>1.9901595917175778E-9</v>
      </c>
      <c r="X297" s="128">
        <f t="shared" si="12"/>
        <v>2.100311514563766E-9</v>
      </c>
      <c r="Y297" s="139">
        <f t="shared" si="13"/>
        <v>3.805833858967814</v>
      </c>
      <c r="AA297" s="73"/>
      <c r="AB297" s="176"/>
      <c r="AC297" s="176"/>
      <c r="AD297" s="176"/>
      <c r="AJ297" s="136"/>
    </row>
    <row r="298" spans="9:36" x14ac:dyDescent="0.35">
      <c r="I298" s="109">
        <v>0.158727716592</v>
      </c>
      <c r="J298" s="109">
        <v>2.1208146212081003E-9</v>
      </c>
      <c r="K298" s="109">
        <v>4.9924748875828568E-10</v>
      </c>
      <c r="L298" s="152">
        <v>1.8364438999850199E-9</v>
      </c>
      <c r="M298" s="33"/>
      <c r="U298" s="127">
        <v>2.3229776731455416E-9</v>
      </c>
      <c r="V298" s="127">
        <v>1.8364438999850199E-9</v>
      </c>
      <c r="W298" s="127">
        <v>2.3645916170711311E-9</v>
      </c>
      <c r="X298" s="128">
        <f t="shared" si="12"/>
        <v>2.0901142725466779E-9</v>
      </c>
      <c r="Y298" s="139">
        <f t="shared" si="13"/>
        <v>3.7814193086239301E-3</v>
      </c>
      <c r="AA298" s="73"/>
      <c r="AB298" s="176"/>
      <c r="AC298" s="176"/>
      <c r="AD298" s="176"/>
      <c r="AJ298" s="136"/>
    </row>
    <row r="299" spans="9:36" x14ac:dyDescent="0.35">
      <c r="I299" s="109">
        <v>0.16031499375800001</v>
      </c>
      <c r="J299" s="109">
        <v>1.9601542012516878E-9</v>
      </c>
      <c r="K299" s="109">
        <v>5.1721078877659328E-10</v>
      </c>
      <c r="L299" s="152">
        <v>2.0027576506045659E-9</v>
      </c>
      <c r="M299" s="34"/>
      <c r="U299" s="127">
        <v>2.2618794110172197E-9</v>
      </c>
      <c r="V299" s="127">
        <v>2.0027576506045659E-9</v>
      </c>
      <c r="W299" s="127">
        <v>2.0945089536853305E-9</v>
      </c>
      <c r="X299" s="128">
        <f t="shared" si="12"/>
        <v>2.0904759164779204E-9</v>
      </c>
      <c r="Y299" s="139">
        <f t="shared" si="13"/>
        <v>6.3488990784536611E-2</v>
      </c>
      <c r="AA299" s="73"/>
      <c r="AB299" s="176"/>
      <c r="AC299" s="176"/>
      <c r="AD299" s="176"/>
      <c r="AJ299" s="136"/>
    </row>
    <row r="300" spans="9:36" x14ac:dyDescent="0.35">
      <c r="I300" s="109">
        <v>0.16191814369499999</v>
      </c>
      <c r="J300" s="109">
        <v>1.5526639255294253E-9</v>
      </c>
      <c r="K300" s="109">
        <v>4.8929105139243334E-10</v>
      </c>
      <c r="L300" s="152">
        <v>2.3498836490130909E-9</v>
      </c>
      <c r="M300" s="34"/>
      <c r="U300" s="127">
        <v>1.8274918758563313E-9</v>
      </c>
      <c r="V300" s="127">
        <v>2.3498836490130909E-9</v>
      </c>
      <c r="W300" s="127">
        <v>1.8348035085077209E-9</v>
      </c>
      <c r="X300" s="128">
        <f t="shared" si="12"/>
        <v>2.0905156705975585E-9</v>
      </c>
      <c r="Y300" s="139">
        <f t="shared" si="13"/>
        <v>1.2083440779833305</v>
      </c>
      <c r="AA300" s="73"/>
      <c r="AB300" s="176"/>
      <c r="AC300" s="176"/>
      <c r="AD300" s="176"/>
      <c r="AJ300" s="136"/>
    </row>
    <row r="301" spans="9:36" x14ac:dyDescent="0.35">
      <c r="I301" s="109">
        <v>0.16353732513200001</v>
      </c>
      <c r="J301" s="109">
        <v>2.0988969816332707E-9</v>
      </c>
      <c r="K301" s="109">
        <v>5.2780431815540739E-10</v>
      </c>
      <c r="L301" s="152">
        <v>2.0584854256740072E-9</v>
      </c>
      <c r="M301" s="33"/>
      <c r="U301" s="127">
        <v>1.9908977443467866E-9</v>
      </c>
      <c r="V301" s="127">
        <v>2.0584854256740072E-9</v>
      </c>
      <c r="W301" s="127">
        <v>2.1758392884940525E-9</v>
      </c>
      <c r="X301" s="128">
        <f t="shared" si="12"/>
        <v>2.0709269710472135E-9</v>
      </c>
      <c r="Y301" s="139">
        <f t="shared" si="13"/>
        <v>2.8082733813321954E-3</v>
      </c>
      <c r="AA301" s="73"/>
      <c r="AB301" s="176"/>
      <c r="AC301" s="176"/>
      <c r="AD301" s="176"/>
      <c r="AJ301" s="136"/>
    </row>
    <row r="302" spans="9:36" x14ac:dyDescent="0.35">
      <c r="I302" s="109">
        <v>0.16517269838400001</v>
      </c>
      <c r="J302" s="109">
        <v>1.2272895076360614E-9</v>
      </c>
      <c r="K302" s="109">
        <v>5.039617890487151E-10</v>
      </c>
      <c r="L302" s="152">
        <v>1.826077842282272E-9</v>
      </c>
      <c r="M302" s="34"/>
      <c r="U302" s="127">
        <v>2.3253983642644498E-9</v>
      </c>
      <c r="V302" s="127">
        <v>1.826077842282272E-9</v>
      </c>
      <c r="W302" s="127">
        <v>2.2450905847841995E-9</v>
      </c>
      <c r="X302" s="128">
        <f t="shared" si="12"/>
        <v>2.0556611584032983E-9</v>
      </c>
      <c r="Y302" s="139">
        <f t="shared" si="13"/>
        <v>2.7018126913020297</v>
      </c>
      <c r="AA302" s="73"/>
      <c r="AB302" s="176"/>
      <c r="AC302" s="176"/>
      <c r="AD302" s="176"/>
      <c r="AJ302" s="136"/>
    </row>
    <row r="303" spans="9:36" x14ac:dyDescent="0.35">
      <c r="I303" s="109">
        <v>0.16682442536700001</v>
      </c>
      <c r="J303" s="109">
        <v>1.410498448774152E-9</v>
      </c>
      <c r="K303" s="109">
        <v>4.9087208313999109E-10</v>
      </c>
      <c r="L303" s="152">
        <v>2.1677795919031054E-9</v>
      </c>
      <c r="M303" s="34"/>
      <c r="U303" s="127">
        <v>2.0348874059902354E-9</v>
      </c>
      <c r="V303" s="127">
        <v>2.1677795919031054E-9</v>
      </c>
      <c r="W303" s="127">
        <v>1.8726279748179944E-9</v>
      </c>
      <c r="X303" s="128">
        <f t="shared" si="12"/>
        <v>2.0607686411536103E-9</v>
      </c>
      <c r="Y303" s="139">
        <f t="shared" si="13"/>
        <v>1.7548945554926689</v>
      </c>
      <c r="AA303" s="73"/>
      <c r="AB303" s="176"/>
      <c r="AC303" s="176"/>
      <c r="AD303" s="176"/>
      <c r="AJ303" s="136"/>
    </row>
    <row r="304" spans="9:36" x14ac:dyDescent="0.35">
      <c r="I304" s="109">
        <v>0.16849266962100001</v>
      </c>
      <c r="J304" s="109">
        <v>1.9942818039335999E-9</v>
      </c>
      <c r="K304" s="109">
        <v>5.9155507003101145E-10</v>
      </c>
      <c r="L304" s="152">
        <v>2.2035013425327098E-9</v>
      </c>
      <c r="M304" s="35"/>
      <c r="U304" s="127">
        <v>1.8069554967440756E-9</v>
      </c>
      <c r="V304" s="127">
        <v>2.2035013425327098E-9</v>
      </c>
      <c r="W304" s="127">
        <v>1.9691206705103835E-9</v>
      </c>
      <c r="X304" s="128">
        <f t="shared" si="12"/>
        <v>2.0457697130799696E-9</v>
      </c>
      <c r="Y304" s="139">
        <f t="shared" si="13"/>
        <v>7.5756543358978627E-3</v>
      </c>
      <c r="AA304" s="73"/>
      <c r="AB304" s="176"/>
      <c r="AC304" s="176"/>
      <c r="AD304" s="176"/>
      <c r="AJ304" s="136"/>
    </row>
    <row r="305" spans="9:36" x14ac:dyDescent="0.35">
      <c r="I305" s="109">
        <v>0.170177596317</v>
      </c>
      <c r="J305" s="109">
        <v>1.277702963576096E-9</v>
      </c>
      <c r="K305" s="109">
        <v>5.8249974852312653E-10</v>
      </c>
      <c r="L305" s="152">
        <v>1.8394618888515862E-9</v>
      </c>
      <c r="M305" s="33"/>
      <c r="U305" s="127">
        <v>2.1374533679850565E-9</v>
      </c>
      <c r="V305" s="127">
        <v>1.8394618888515862E-9</v>
      </c>
      <c r="W305" s="127">
        <v>2.2259291835052652E-9</v>
      </c>
      <c r="X305" s="128">
        <f t="shared" si="12"/>
        <v>2.0105765822983734E-9</v>
      </c>
      <c r="Y305" s="139">
        <f t="shared" si="13"/>
        <v>1.5829481619516046</v>
      </c>
      <c r="AA305" s="73"/>
      <c r="AB305" s="176"/>
      <c r="AC305" s="176"/>
      <c r="AD305" s="176"/>
      <c r="AJ305" s="136"/>
    </row>
    <row r="306" spans="9:36" x14ac:dyDescent="0.35">
      <c r="I306" s="109">
        <v>0.17187937228</v>
      </c>
      <c r="J306" s="109">
        <v>1.4875691706272125E-9</v>
      </c>
      <c r="K306" s="109">
        <v>5.4136655638888052E-10</v>
      </c>
      <c r="L306" s="152">
        <v>1.9545435756807188E-9</v>
      </c>
      <c r="M306" s="34"/>
      <c r="U306" s="127">
        <v>2.166260118201101E-9</v>
      </c>
      <c r="V306" s="127">
        <v>1.9545435756807188E-9</v>
      </c>
      <c r="W306" s="127">
        <v>1.9530385884743256E-9</v>
      </c>
      <c r="X306" s="128">
        <f t="shared" si="12"/>
        <v>2.0070964645092161E-9</v>
      </c>
      <c r="Y306" s="139">
        <f t="shared" si="13"/>
        <v>0.9209454166467641</v>
      </c>
      <c r="AA306" s="73"/>
      <c r="AB306" s="176"/>
      <c r="AC306" s="176"/>
      <c r="AD306" s="176"/>
      <c r="AJ306" s="136"/>
    </row>
    <row r="307" spans="9:36" x14ac:dyDescent="0.35">
      <c r="I307" s="109">
        <v>0.17359816600299999</v>
      </c>
      <c r="J307" s="109">
        <v>5.3839563850667403E-10</v>
      </c>
      <c r="K307" s="109">
        <v>5.1373020882195599E-10</v>
      </c>
      <c r="L307" s="152">
        <v>2.1845718212267257E-9</v>
      </c>
      <c r="M307" s="34"/>
      <c r="U307" s="127">
        <v>1.8087542768227838E-9</v>
      </c>
      <c r="V307" s="127">
        <v>2.1845718212267257E-9</v>
      </c>
      <c r="W307" s="127">
        <v>1.8412968008172425E-9</v>
      </c>
      <c r="X307" s="128">
        <f t="shared" si="12"/>
        <v>2.0047986800233694E-9</v>
      </c>
      <c r="Y307" s="139">
        <f t="shared" si="13"/>
        <v>8.1477275254211499</v>
      </c>
      <c r="AA307" s="73"/>
      <c r="AB307" s="176"/>
      <c r="AC307" s="176"/>
      <c r="AD307" s="176"/>
      <c r="AJ307" s="136"/>
    </row>
    <row r="308" spans="9:36" x14ac:dyDescent="0.35">
      <c r="I308" s="109">
        <v>0.17533414766300001</v>
      </c>
      <c r="J308" s="109">
        <v>1.9272064656296154E-9</v>
      </c>
      <c r="K308" s="109">
        <v>6.3486862342102727E-10</v>
      </c>
      <c r="L308" s="152">
        <v>1.9020792969951559E-9</v>
      </c>
      <c r="M308" s="33"/>
      <c r="U308" s="127">
        <v>1.9181660384917002E-9</v>
      </c>
      <c r="V308" s="127">
        <v>1.9020792969951559E-9</v>
      </c>
      <c r="W308" s="127">
        <v>2.1130228243969393E-9</v>
      </c>
      <c r="X308" s="128">
        <f t="shared" si="12"/>
        <v>1.9588368642197377E-9</v>
      </c>
      <c r="Y308" s="139">
        <f t="shared" si="13"/>
        <v>2.4822276085882159E-3</v>
      </c>
      <c r="AA308" s="73"/>
      <c r="AB308" s="176"/>
      <c r="AC308" s="176"/>
      <c r="AD308" s="176"/>
      <c r="AJ308" s="136"/>
    </row>
    <row r="309" spans="9:36" x14ac:dyDescent="0.35">
      <c r="I309" s="109">
        <v>0.17708748914</v>
      </c>
      <c r="J309" s="109">
        <v>2.2331414992075656E-9</v>
      </c>
      <c r="K309" s="109">
        <v>7.3048040281320876E-10</v>
      </c>
      <c r="L309" s="152">
        <v>1.8124339853131857E-9</v>
      </c>
      <c r="M309" s="34"/>
      <c r="U309" s="127">
        <v>2.1362736660272758E-9</v>
      </c>
      <c r="V309" s="127">
        <v>1.8124339853131857E-9</v>
      </c>
      <c r="W309" s="127">
        <v>1.9799984895562907E-9</v>
      </c>
      <c r="X309" s="128">
        <f t="shared" si="12"/>
        <v>1.9352850315524842E-9</v>
      </c>
      <c r="Y309" s="139">
        <f t="shared" si="13"/>
        <v>0.1662635047993771</v>
      </c>
      <c r="AA309" s="73"/>
      <c r="AB309" s="176"/>
      <c r="AC309" s="176"/>
      <c r="AD309" s="176"/>
      <c r="AJ309" s="136"/>
    </row>
    <row r="310" spans="9:36" x14ac:dyDescent="0.35">
      <c r="I310" s="109">
        <v>0.178858364031</v>
      </c>
      <c r="J310" s="109">
        <v>1.8090810488949325E-9</v>
      </c>
      <c r="K310" s="109">
        <v>6.218780858735817E-10</v>
      </c>
      <c r="L310" s="152">
        <v>2.0693119100634015E-9</v>
      </c>
      <c r="M310" s="34"/>
      <c r="U310" s="127">
        <v>1.858071436341316E-9</v>
      </c>
      <c r="V310" s="127">
        <v>2.0693119100634015E-9</v>
      </c>
      <c r="W310" s="127">
        <v>1.7706020861148698E-9</v>
      </c>
      <c r="X310" s="128">
        <f t="shared" si="12"/>
        <v>1.9418243356457474E-9</v>
      </c>
      <c r="Y310" s="139">
        <f t="shared" si="13"/>
        <v>4.5563242923149054E-2</v>
      </c>
      <c r="AA310" s="73"/>
      <c r="AB310" s="176"/>
      <c r="AC310" s="176"/>
      <c r="AD310" s="176"/>
      <c r="AJ310" s="136"/>
    </row>
    <row r="311" spans="9:36" x14ac:dyDescent="0.35">
      <c r="I311" s="109">
        <v>0.18064694767200001</v>
      </c>
      <c r="J311" s="109">
        <v>1.4692147829929081E-9</v>
      </c>
      <c r="K311" s="109">
        <v>6.5481178153764718E-10</v>
      </c>
      <c r="L311" s="152">
        <v>1.9174365070748105E-9</v>
      </c>
      <c r="M311" s="34"/>
      <c r="U311" s="127">
        <v>1.7681050602205414E-9</v>
      </c>
      <c r="V311" s="127">
        <v>1.9174365070748105E-9</v>
      </c>
      <c r="W311" s="127">
        <v>1.9807104106220173E-9</v>
      </c>
      <c r="X311" s="128">
        <f t="shared" si="12"/>
        <v>1.8959221212480449E-9</v>
      </c>
      <c r="Y311" s="139">
        <f t="shared" si="13"/>
        <v>0.42464621146509374</v>
      </c>
      <c r="AA311" s="73"/>
      <c r="AB311" s="176"/>
      <c r="AC311" s="176"/>
      <c r="AD311" s="176"/>
      <c r="AJ311" s="136"/>
    </row>
    <row r="312" spans="9:36" x14ac:dyDescent="0.35">
      <c r="I312" s="109">
        <v>0.18245341714800001</v>
      </c>
      <c r="J312" s="109">
        <v>2.6279004647583949E-9</v>
      </c>
      <c r="K312" s="109">
        <v>8.0447716543654496E-10</v>
      </c>
      <c r="L312" s="152">
        <v>1.7263309969526417E-9</v>
      </c>
      <c r="M312" s="33"/>
      <c r="U312" s="127">
        <v>2.0116931534133909E-9</v>
      </c>
      <c r="V312" s="127">
        <v>1.7263309969526417E-9</v>
      </c>
      <c r="W312" s="127">
        <v>1.9389362222671433E-9</v>
      </c>
      <c r="X312" s="128">
        <f t="shared" si="12"/>
        <v>1.8508228423964544E-9</v>
      </c>
      <c r="Y312" s="139">
        <f t="shared" si="13"/>
        <v>0.93304236297270871</v>
      </c>
      <c r="AA312" s="73"/>
      <c r="AB312" s="176"/>
      <c r="AC312" s="176"/>
      <c r="AD312" s="176"/>
      <c r="AJ312" s="136"/>
    </row>
    <row r="313" spans="9:36" x14ac:dyDescent="0.35">
      <c r="I313" s="109">
        <v>0.18427795131999999</v>
      </c>
      <c r="J313" s="109">
        <v>1.8810947190558425E-9</v>
      </c>
      <c r="K313" s="109">
        <v>7.2626272914997999E-10</v>
      </c>
      <c r="L313" s="152">
        <v>1.9303557220533393E-9</v>
      </c>
      <c r="M313" s="34"/>
      <c r="U313" s="127">
        <v>1.8606379424981436E-9</v>
      </c>
      <c r="V313" s="127">
        <v>1.9303557220533393E-9</v>
      </c>
      <c r="W313" s="127">
        <v>1.7113807060266938E-9</v>
      </c>
      <c r="X313" s="128">
        <f t="shared" si="12"/>
        <v>1.858182523157879E-9</v>
      </c>
      <c r="Y313" s="139">
        <f t="shared" si="13"/>
        <v>9.9528145747946554E-4</v>
      </c>
      <c r="AA313" s="73"/>
      <c r="AB313" s="176"/>
      <c r="AC313" s="176"/>
      <c r="AD313" s="176"/>
      <c r="AJ313" s="136"/>
    </row>
    <row r="314" spans="9:36" x14ac:dyDescent="0.35">
      <c r="I314" s="109">
        <v>0.18612073083299999</v>
      </c>
      <c r="J314" s="109">
        <v>3.0865044723299129E-9</v>
      </c>
      <c r="K314" s="109">
        <v>8.5551105260425057E-10</v>
      </c>
      <c r="L314" s="152">
        <v>1.8676461909923306E-9</v>
      </c>
      <c r="M314" s="34"/>
      <c r="U314" s="127">
        <v>1.6725077876342706E-9</v>
      </c>
      <c r="V314" s="127">
        <v>1.8676461909923306E-9</v>
      </c>
      <c r="W314" s="127">
        <v>1.8579636610802479E-9</v>
      </c>
      <c r="X314" s="128">
        <f t="shared" si="12"/>
        <v>1.816440957674795E-9</v>
      </c>
      <c r="Y314" s="139">
        <f t="shared" si="13"/>
        <v>2.2039393087594132</v>
      </c>
      <c r="AA314" s="73"/>
      <c r="AB314" s="176"/>
      <c r="AC314" s="176"/>
      <c r="AD314" s="176"/>
      <c r="AJ314" s="136"/>
    </row>
    <row r="315" spans="9:36" x14ac:dyDescent="0.35">
      <c r="I315" s="109">
        <v>0.187981938141</v>
      </c>
      <c r="J315" s="109">
        <v>2.6104034650525181E-9</v>
      </c>
      <c r="K315" s="109">
        <v>8.3857181287111716E-10</v>
      </c>
      <c r="L315" s="152">
        <v>1.6536713560923264E-9</v>
      </c>
      <c r="M315" s="33"/>
      <c r="U315" s="127">
        <v>1.8639361085536705E-9</v>
      </c>
      <c r="V315" s="127">
        <v>1.6536713560923264E-9</v>
      </c>
      <c r="W315" s="127">
        <v>1.8481245124385715E-9</v>
      </c>
      <c r="X315" s="128">
        <f t="shared" si="12"/>
        <v>1.7548508332942236E-9</v>
      </c>
      <c r="Y315" s="139">
        <f t="shared" si="13"/>
        <v>1.0409094290540186</v>
      </c>
      <c r="AA315" s="73"/>
      <c r="AB315" s="176"/>
      <c r="AC315" s="176"/>
      <c r="AD315" s="176"/>
      <c r="AJ315" s="136"/>
    </row>
    <row r="316" spans="9:36" x14ac:dyDescent="0.35">
      <c r="I316" s="109">
        <v>0.189861757523</v>
      </c>
      <c r="J316" s="109">
        <v>7.4812204781374068E-10</v>
      </c>
      <c r="K316" s="109">
        <v>7.1996704588629799E-10</v>
      </c>
      <c r="L316" s="152">
        <v>1.7968037731470865E-9</v>
      </c>
      <c r="M316" s="34"/>
      <c r="U316" s="127">
        <v>1.7993444647743202E-9</v>
      </c>
      <c r="V316" s="127">
        <v>1.7968037731470865E-9</v>
      </c>
      <c r="W316" s="127">
        <v>1.6387714239533578E-9</v>
      </c>
      <c r="X316" s="128">
        <f t="shared" si="12"/>
        <v>1.7579308587554628E-9</v>
      </c>
      <c r="Y316" s="139">
        <f t="shared" si="13"/>
        <v>1.9672206498029754</v>
      </c>
      <c r="AA316" s="73"/>
      <c r="AB316" s="176"/>
      <c r="AC316" s="176"/>
      <c r="AD316" s="176"/>
      <c r="AJ316" s="136"/>
    </row>
    <row r="317" spans="9:36" x14ac:dyDescent="0.35">
      <c r="I317" s="109">
        <v>0.19176037509800001</v>
      </c>
      <c r="J317" s="109">
        <v>9.2001353576744932E-10</v>
      </c>
      <c r="K317" s="109">
        <v>7.1105385260469189E-10</v>
      </c>
      <c r="L317" s="152">
        <v>1.7650606653540466E-9</v>
      </c>
      <c r="M317" s="34"/>
      <c r="U317" s="127">
        <v>1.5909886580817327E-9</v>
      </c>
      <c r="V317" s="127">
        <v>1.7650606653540466E-9</v>
      </c>
      <c r="W317" s="127">
        <v>1.7464981038245423E-9</v>
      </c>
      <c r="X317" s="128">
        <f t="shared" si="12"/>
        <v>1.7169020231535922E-9</v>
      </c>
      <c r="Y317" s="139">
        <f t="shared" si="13"/>
        <v>1.2560013829393339</v>
      </c>
      <c r="AA317" s="73"/>
      <c r="AB317" s="176"/>
      <c r="AC317" s="176"/>
      <c r="AD317" s="176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7"/>
      <c r="X318" s="128"/>
      <c r="Y318" s="139"/>
      <c r="AA318" s="73"/>
      <c r="AB318" s="176"/>
      <c r="AC318" s="176"/>
      <c r="AD318" s="176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7"/>
      <c r="X319" s="128"/>
      <c r="Y319" s="139"/>
      <c r="AA319" s="73"/>
      <c r="AB319" s="176"/>
      <c r="AC319" s="176"/>
      <c r="AD319" s="176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7"/>
      <c r="X320" s="128"/>
      <c r="Y320" s="139"/>
      <c r="AA320" s="73"/>
      <c r="AB320" s="176"/>
      <c r="AC320" s="176"/>
      <c r="AD320" s="176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7"/>
      <c r="X321" s="128"/>
      <c r="Y321" s="139"/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7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62.11529984911413</v>
      </c>
      <c r="C2" s="165">
        <f>dDstack!D4</f>
        <v>30.194627936326182</v>
      </c>
      <c r="D2" s="169"/>
    </row>
    <row r="3" spans="1:4" ht="18" x14ac:dyDescent="0.35">
      <c r="A3" s="93" t="s">
        <v>628</v>
      </c>
      <c r="B3" s="165">
        <f>Reflectivity!H10</f>
        <v>1075.6104911977275</v>
      </c>
      <c r="C3" s="165">
        <f>dTotal!D4</f>
        <v>9.8499202546170253</v>
      </c>
      <c r="D3" s="169"/>
    </row>
    <row r="4" spans="1:4" ht="18" x14ac:dyDescent="0.35">
      <c r="A4" s="93" t="s">
        <v>629</v>
      </c>
      <c r="B4" s="165">
        <f>B3-B2</f>
        <v>1013.4951913486134</v>
      </c>
      <c r="C4" s="165">
        <f>SQRT(C2^2+C3^2)</f>
        <v>31.760612167203014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15.045796548587383</v>
      </c>
      <c r="C6" s="165">
        <f>sigDstack!D4</f>
        <v>12.640494988111151</v>
      </c>
      <c r="D6" s="169"/>
    </row>
    <row r="7" spans="1:4" ht="18" x14ac:dyDescent="0.35">
      <c r="A7" s="93" t="s">
        <v>624</v>
      </c>
      <c r="B7" s="165">
        <f>Reflectivity!G5</f>
        <v>62.11529984911413</v>
      </c>
      <c r="C7" s="165">
        <f>sigHstack!D4</f>
        <v>127.02172824488886</v>
      </c>
      <c r="D7" s="167"/>
    </row>
    <row r="9" spans="1:4" ht="18" x14ac:dyDescent="0.35">
      <c r="A9" s="93" t="s">
        <v>622</v>
      </c>
      <c r="B9" s="167">
        <f>Reflectivity!H18</f>
        <v>0.12326570075215602</v>
      </c>
      <c r="C9" s="167">
        <f>'f_d^D'!D4</f>
        <v>5.2103870568318916E-2</v>
      </c>
      <c r="D9" s="165"/>
    </row>
    <row r="10" spans="1:4" ht="18" x14ac:dyDescent="0.35">
      <c r="A10" s="93" t="s">
        <v>619</v>
      </c>
      <c r="B10" s="167">
        <f>Reflectivity!H20</f>
        <v>1.2461478861244468E-2</v>
      </c>
      <c r="C10" s="167">
        <f>'f_d^H'!D4</f>
        <v>3.3381010475310613E-2</v>
      </c>
      <c r="D10" s="165"/>
    </row>
    <row r="11" spans="1:4" ht="18" x14ac:dyDescent="0.35">
      <c r="A11" s="93" t="s">
        <v>616</v>
      </c>
      <c r="B11" s="167">
        <f>Reflectivity!H16</f>
        <v>0.29996142000263898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1.3701415271707418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2.0740527012235278E-6</v>
      </c>
      <c r="C14" s="168">
        <f>SQRT(C12^2*B15^2+C11^2*B16^2+C9^2*B17^2)</f>
        <v>1.4539246101025086E-7</v>
      </c>
      <c r="D14" s="168">
        <f>NbDstack!D4</f>
        <v>1.2617349670530792E-7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1.5137507039191195E-6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-4.8531765448967771E-7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2.3365579511526695E-6</v>
      </c>
      <c r="C17" s="168"/>
      <c r="D17" s="167"/>
    </row>
    <row r="19" spans="1:4" ht="18" x14ac:dyDescent="0.35">
      <c r="A19" s="93" t="s">
        <v>638</v>
      </c>
      <c r="B19" s="168">
        <f>Reflectivity!C5</f>
        <v>1.8151522155430334E-6</v>
      </c>
      <c r="C19" s="168">
        <f>SQRT(C12^2*B20^2+C11^2*B21^2+C10^2*B22^2)</f>
        <v>1.225431490096219E-7</v>
      </c>
      <c r="D19" s="168">
        <f>NbHstack!D4</f>
        <v>7.8233192154710123E-8</v>
      </c>
    </row>
    <row r="20" spans="1:4" ht="18" x14ac:dyDescent="0.35">
      <c r="A20" s="93" t="s">
        <v>639</v>
      </c>
      <c r="B20" s="168">
        <f>B19/B12</f>
        <v>1.3247917675272652E-6</v>
      </c>
      <c r="C20" s="168"/>
      <c r="D20" s="167"/>
    </row>
    <row r="21" spans="1:4" ht="18" x14ac:dyDescent="0.35">
      <c r="A21" s="93" t="s">
        <v>640</v>
      </c>
      <c r="B21" s="168">
        <f>B12*(-Reflectivity!C16+(1-B10)*Reflectivity!D16+B10*(Reflectivity!E18/Reflectivity!D18)*Reflectivity!E16)</f>
        <v>-1.3484302696993814E-6</v>
      </c>
      <c r="C21" s="168"/>
      <c r="D21" s="167"/>
    </row>
    <row r="22" spans="1:4" ht="18" x14ac:dyDescent="0.35">
      <c r="A22" s="93" t="s">
        <v>641</v>
      </c>
      <c r="B22" s="168">
        <f>B12*B11*(-Reflectivity!D16+(Reflectivity!E18/Reflectivity!D18)*Reflectivity!E16)</f>
        <v>2.3365579511526695E-6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1060</v>
      </c>
      <c r="C2" s="105">
        <v>1080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1060</v>
      </c>
      <c r="B4" s="94">
        <v>4.3396404544231864</v>
      </c>
      <c r="C4" s="106">
        <v>1075.6104911977275</v>
      </c>
      <c r="D4" s="106">
        <v>9.8499202546170253</v>
      </c>
    </row>
    <row r="5" spans="1:5" x14ac:dyDescent="0.35">
      <c r="A5" s="106">
        <v>1064</v>
      </c>
      <c r="B5" s="94">
        <v>3.2174498319464582</v>
      </c>
      <c r="C5" s="94"/>
      <c r="D5" s="94"/>
    </row>
    <row r="6" spans="1:5" x14ac:dyDescent="0.35">
      <c r="A6" s="106">
        <v>1068</v>
      </c>
      <c r="B6" s="94">
        <v>2.422656728940952</v>
      </c>
      <c r="C6" s="94"/>
      <c r="D6" s="94"/>
    </row>
    <row r="7" spans="1:5" x14ac:dyDescent="0.35">
      <c r="A7" s="106">
        <v>1072</v>
      </c>
      <c r="B7" s="94">
        <v>1.9616383283589653</v>
      </c>
      <c r="C7" s="94"/>
      <c r="D7" s="94"/>
    </row>
    <row r="8" spans="1:5" x14ac:dyDescent="0.35">
      <c r="A8" s="106">
        <v>1076</v>
      </c>
      <c r="B8" s="94">
        <v>1.8320707082334426</v>
      </c>
      <c r="C8" s="94"/>
      <c r="D8" s="94"/>
    </row>
    <row r="9" spans="1:5" x14ac:dyDescent="0.35">
      <c r="A9" s="106">
        <v>1080</v>
      </c>
      <c r="B9" s="94">
        <v>2.0247238601033737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40</v>
      </c>
      <c r="C2" s="105">
        <v>80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40</v>
      </c>
      <c r="B4" s="94">
        <v>2.3430268954703424</v>
      </c>
      <c r="C4" s="106">
        <v>62.11529984911413</v>
      </c>
      <c r="D4" s="106">
        <v>30.194627936326182</v>
      </c>
    </row>
    <row r="5" spans="1:5" x14ac:dyDescent="0.35">
      <c r="A5" s="106">
        <v>48</v>
      </c>
      <c r="B5" s="94">
        <v>2.0006892136038736</v>
      </c>
      <c r="C5" s="94"/>
      <c r="D5" s="94"/>
    </row>
    <row r="6" spans="1:5" x14ac:dyDescent="0.35">
      <c r="A6" s="106">
        <v>56</v>
      </c>
      <c r="B6" s="94">
        <v>1.8266862606523653</v>
      </c>
      <c r="C6" s="94"/>
      <c r="D6" s="94"/>
    </row>
    <row r="7" spans="1:5" x14ac:dyDescent="0.35">
      <c r="A7" s="106">
        <v>64</v>
      </c>
      <c r="B7" s="94">
        <v>1.8073367258333082</v>
      </c>
      <c r="C7" s="94"/>
      <c r="D7" s="94"/>
    </row>
    <row r="8" spans="1:5" x14ac:dyDescent="0.35">
      <c r="A8" s="106">
        <v>72</v>
      </c>
      <c r="B8" s="94">
        <v>1.9211451986401558</v>
      </c>
      <c r="C8" s="94"/>
      <c r="D8" s="94"/>
    </row>
    <row r="9" spans="1:5" x14ac:dyDescent="0.35">
      <c r="A9" s="106">
        <v>80</v>
      </c>
      <c r="B9" s="94">
        <v>2.1347684996152014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0.08</v>
      </c>
      <c r="C2" s="162">
        <v>0.19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0.08</v>
      </c>
      <c r="B4" s="94">
        <v>2.4301424692377354</v>
      </c>
      <c r="C4" s="161">
        <v>0.12326570075215602</v>
      </c>
      <c r="D4" s="161">
        <v>5.2103870568318916E-2</v>
      </c>
    </row>
    <row r="5" spans="1:5" x14ac:dyDescent="0.35">
      <c r="A5" s="161">
        <v>0.10200000000000001</v>
      </c>
      <c r="B5" s="94">
        <v>1.9552667819656409</v>
      </c>
      <c r="C5" s="94"/>
      <c r="D5" s="94"/>
    </row>
    <row r="6" spans="1:5" x14ac:dyDescent="0.35">
      <c r="A6" s="161">
        <v>0.124</v>
      </c>
      <c r="B6" s="94">
        <v>1.7773899942969142</v>
      </c>
      <c r="C6" s="94"/>
      <c r="D6" s="94"/>
    </row>
    <row r="7" spans="1:5" x14ac:dyDescent="0.35">
      <c r="A7" s="161">
        <v>0.14599999999999999</v>
      </c>
      <c r="B7" s="94">
        <v>1.9351821111253709</v>
      </c>
      <c r="C7" s="94"/>
      <c r="D7" s="94"/>
    </row>
    <row r="8" spans="1:5" x14ac:dyDescent="0.35">
      <c r="A8" s="161">
        <v>0.16799999999999998</v>
      </c>
      <c r="B8" s="94">
        <v>2.4691277826860016</v>
      </c>
      <c r="C8" s="94"/>
      <c r="D8" s="94"/>
    </row>
    <row r="9" spans="1:5" x14ac:dyDescent="0.35">
      <c r="A9" s="161">
        <v>0.19</v>
      </c>
      <c r="B9" s="94">
        <v>3.4215428339881586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637</v>
      </c>
      <c r="B2" s="162">
        <v>-0.03</v>
      </c>
      <c r="C2" s="162">
        <v>0.03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3.3825275256597434</v>
      </c>
      <c r="C4" s="161">
        <v>1.2461478861244468E-2</v>
      </c>
      <c r="D4" s="161">
        <v>3.3381010475310613E-2</v>
      </c>
    </row>
    <row r="5" spans="1:5" x14ac:dyDescent="0.35">
      <c r="A5" s="161">
        <v>-1.7999999999999999E-2</v>
      </c>
      <c r="B5" s="94">
        <v>2.6257106490164777</v>
      </c>
      <c r="C5" s="94"/>
      <c r="D5" s="94"/>
    </row>
    <row r="6" spans="1:5" x14ac:dyDescent="0.35">
      <c r="A6" s="161">
        <v>-5.9999999999999984E-3</v>
      </c>
      <c r="B6" s="94">
        <v>2.0913692425848143</v>
      </c>
      <c r="C6" s="94"/>
      <c r="D6" s="94"/>
    </row>
    <row r="7" spans="1:5" x14ac:dyDescent="0.35">
      <c r="A7" s="161">
        <v>6.0000000000000019E-3</v>
      </c>
      <c r="B7" s="94">
        <v>1.803655040038413</v>
      </c>
      <c r="C7" s="94"/>
      <c r="D7" s="94"/>
    </row>
    <row r="8" spans="1:5" x14ac:dyDescent="0.35">
      <c r="A8" s="161">
        <v>1.8000000000000002E-2</v>
      </c>
      <c r="B8" s="94">
        <v>1.7914631230687779</v>
      </c>
      <c r="C8" s="94"/>
      <c r="D8" s="94"/>
    </row>
    <row r="9" spans="1:5" x14ac:dyDescent="0.35">
      <c r="A9" s="161">
        <v>3.0000000000000002E-2</v>
      </c>
      <c r="B9" s="94">
        <v>2.064303286943439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5</v>
      </c>
      <c r="C2" s="105">
        <v>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2.3143308767419914</v>
      </c>
      <c r="C4" s="106">
        <v>15.045796548587383</v>
      </c>
      <c r="D4" s="106">
        <v>12.640494988111151</v>
      </c>
    </row>
    <row r="5" spans="1:5" x14ac:dyDescent="0.35">
      <c r="A5" s="106">
        <v>10</v>
      </c>
      <c r="B5" s="94">
        <v>1.969639183965944</v>
      </c>
      <c r="C5" s="94"/>
      <c r="D5" s="94"/>
    </row>
    <row r="6" spans="1:5" x14ac:dyDescent="0.35">
      <c r="A6" s="106">
        <v>15</v>
      </c>
      <c r="B6" s="94">
        <v>1.7445905283203189</v>
      </c>
      <c r="C6" s="94"/>
      <c r="D6" s="94"/>
    </row>
    <row r="7" spans="1:5" x14ac:dyDescent="0.35">
      <c r="A7" s="106">
        <v>20</v>
      </c>
      <c r="B7" s="94">
        <v>1.8389530719014295</v>
      </c>
      <c r="C7" s="94"/>
      <c r="D7" s="94"/>
    </row>
    <row r="8" spans="1:5" x14ac:dyDescent="0.35">
      <c r="A8" s="106">
        <v>25</v>
      </c>
      <c r="B8" s="94">
        <v>2.3170022907154837</v>
      </c>
      <c r="C8" s="94"/>
      <c r="D8" s="94"/>
    </row>
    <row r="9" spans="1:5" x14ac:dyDescent="0.35">
      <c r="A9" s="106">
        <v>30</v>
      </c>
      <c r="B9" s="94">
        <v>3.1622186812322717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B2" sqref="B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</v>
      </c>
      <c r="C2" s="105">
        <v>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2.0580741712788542</v>
      </c>
      <c r="C4" s="106">
        <v>74.29678497504996</v>
      </c>
      <c r="D4" s="106">
        <v>127.02172824488886</v>
      </c>
    </row>
    <row r="5" spans="1:5" x14ac:dyDescent="0.35">
      <c r="A5" s="106">
        <v>30</v>
      </c>
      <c r="B5" s="94">
        <v>1.8713368840215403</v>
      </c>
      <c r="C5" s="94"/>
      <c r="D5" s="94"/>
    </row>
    <row r="6" spans="1:5" x14ac:dyDescent="0.35">
      <c r="A6" s="106">
        <v>55</v>
      </c>
      <c r="B6" s="94">
        <v>1.7528657190948742</v>
      </c>
      <c r="C6" s="94"/>
      <c r="D6" s="94"/>
    </row>
    <row r="7" spans="1:5" x14ac:dyDescent="0.35">
      <c r="A7" s="106">
        <v>80</v>
      </c>
      <c r="B7" s="94">
        <v>1.7623950698251298</v>
      </c>
      <c r="C7" s="94"/>
      <c r="D7" s="94"/>
    </row>
    <row r="8" spans="1:5" x14ac:dyDescent="0.35">
      <c r="A8" s="106">
        <v>105</v>
      </c>
      <c r="B8" s="94">
        <v>1.8365951499032762</v>
      </c>
      <c r="C8" s="94"/>
      <c r="D8" s="94"/>
    </row>
    <row r="9" spans="1:5" x14ac:dyDescent="0.35">
      <c r="A9" s="106">
        <v>130</v>
      </c>
      <c r="B9" s="94">
        <v>1.9295732675945994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2.03E-6</v>
      </c>
      <c r="C2" s="119">
        <v>2.1500000000000002E-6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2.03E-6</v>
      </c>
      <c r="B4" s="94">
        <v>2.1343959195299282</v>
      </c>
      <c r="C4" s="99">
        <v>2.0700937506185016E-6</v>
      </c>
      <c r="D4" s="99">
        <v>5.2116848193198316E-8</v>
      </c>
    </row>
    <row r="5" spans="1:5" x14ac:dyDescent="0.35">
      <c r="A5" s="99">
        <v>2.0540000000000002E-6</v>
      </c>
      <c r="B5" s="94">
        <v>1.8324781820480596</v>
      </c>
      <c r="C5" s="94"/>
      <c r="D5" s="94"/>
    </row>
    <row r="6" spans="1:5" x14ac:dyDescent="0.35">
      <c r="A6" s="99">
        <v>2.0780000000000003E-6</v>
      </c>
      <c r="B6" s="94">
        <v>1.7501437589172899</v>
      </c>
      <c r="C6" s="94"/>
      <c r="D6" s="94"/>
    </row>
    <row r="7" spans="1:5" x14ac:dyDescent="0.35">
      <c r="A7" s="99">
        <v>2.1019999999999999E-6</v>
      </c>
      <c r="B7" s="94">
        <v>1.9601109704598223</v>
      </c>
      <c r="C7" s="94"/>
      <c r="D7" s="94"/>
    </row>
    <row r="8" spans="1:5" x14ac:dyDescent="0.35">
      <c r="A8" s="99">
        <v>2.1260000000000001E-6</v>
      </c>
      <c r="B8" s="94">
        <v>2.598689500415087</v>
      </c>
      <c r="C8" s="94"/>
      <c r="D8" s="94"/>
    </row>
    <row r="9" spans="1:5" x14ac:dyDescent="0.35">
      <c r="A9" s="99">
        <v>2.1500000000000002E-6</v>
      </c>
      <c r="B9" s="94">
        <v>4.0951540925031589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1.9999999999999999E-6</v>
      </c>
      <c r="C2" s="119">
        <v>2.1500000000000002E-6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2.1798733370026393</v>
      </c>
      <c r="C4" s="99">
        <v>2.0797946154443226E-6</v>
      </c>
      <c r="D4" s="99">
        <v>1.2617349670530792E-7</v>
      </c>
    </row>
    <row r="5" spans="1:5" x14ac:dyDescent="0.35">
      <c r="A5" s="99">
        <v>2.03E-6</v>
      </c>
      <c r="B5" s="94">
        <v>1.9449715645394783</v>
      </c>
      <c r="C5" s="94"/>
      <c r="D5" s="94"/>
    </row>
    <row r="6" spans="1:5" x14ac:dyDescent="0.35">
      <c r="A6" s="99">
        <v>2.0600000000000002E-6</v>
      </c>
      <c r="B6" s="94">
        <v>1.8115679709580463</v>
      </c>
      <c r="C6" s="94"/>
      <c r="D6" s="94"/>
    </row>
    <row r="7" spans="1:5" x14ac:dyDescent="0.35">
      <c r="A7" s="99">
        <v>2.0899999999999999E-6</v>
      </c>
      <c r="B7" s="94">
        <v>1.7872559241785484</v>
      </c>
      <c r="C7" s="94"/>
      <c r="D7" s="94"/>
    </row>
    <row r="8" spans="1:5" x14ac:dyDescent="0.35">
      <c r="A8" s="99">
        <v>2.12E-6</v>
      </c>
      <c r="B8" s="94">
        <v>1.8798372320597427</v>
      </c>
      <c r="C8" s="94"/>
      <c r="D8" s="94"/>
    </row>
    <row r="9" spans="1:5" x14ac:dyDescent="0.35">
      <c r="A9" s="99">
        <v>2.1500000000000002E-6</v>
      </c>
      <c r="B9" s="94">
        <v>2.097323258609729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1.77E-6</v>
      </c>
      <c r="C2" s="119">
        <v>1.8700000000000001E-6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1.77E-6</v>
      </c>
      <c r="B4" s="94">
        <v>1.9782582108234583</v>
      </c>
      <c r="C4" s="99">
        <v>1.8055399645975585E-6</v>
      </c>
      <c r="D4" s="99">
        <v>7.8233192154710123E-8</v>
      </c>
    </row>
    <row r="5" spans="1:5" x14ac:dyDescent="0.35">
      <c r="A5" s="99">
        <v>1.79E-6</v>
      </c>
      <c r="B5" s="94">
        <v>1.8126457397271389</v>
      </c>
      <c r="C5" s="94"/>
      <c r="D5" s="94"/>
    </row>
    <row r="6" spans="1:5" x14ac:dyDescent="0.35">
      <c r="A6" s="99">
        <v>1.81E-6</v>
      </c>
      <c r="B6" s="94">
        <v>1.7747425522751656</v>
      </c>
      <c r="C6" s="94"/>
      <c r="D6" s="94"/>
    </row>
    <row r="7" spans="1:5" x14ac:dyDescent="0.35">
      <c r="A7" s="99">
        <v>1.8300000000000001E-6</v>
      </c>
      <c r="B7" s="94">
        <v>1.868700832953347</v>
      </c>
      <c r="C7" s="94"/>
      <c r="D7" s="94"/>
    </row>
    <row r="8" spans="1:5" x14ac:dyDescent="0.35">
      <c r="A8" s="99">
        <v>1.8500000000000001E-6</v>
      </c>
      <c r="B8" s="94">
        <v>2.096971783919813</v>
      </c>
      <c r="C8" s="94"/>
      <c r="D8" s="94"/>
    </row>
    <row r="9" spans="1:5" x14ac:dyDescent="0.35">
      <c r="A9" s="99">
        <v>1.8700000000000001E-6</v>
      </c>
      <c r="B9" s="94">
        <v>2.4503944411844585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5BE40-A3D0-4587-936B-517D43B6A959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9.33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636</v>
      </c>
      <c r="D1" s="86" t="s">
        <v>547</v>
      </c>
      <c r="E1" s="86">
        <v>174779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642</v>
      </c>
      <c r="E4" s="1" t="s">
        <v>643</v>
      </c>
      <c r="F4" s="1">
        <v>11</v>
      </c>
      <c r="G4" s="117">
        <v>0.70613425925925932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174779</v>
      </c>
      <c r="C8" s="1">
        <v>174452</v>
      </c>
      <c r="D8" s="1">
        <v>1.2029300000000001</v>
      </c>
      <c r="E8" s="1">
        <v>13.2996</v>
      </c>
      <c r="F8" s="1">
        <v>16.700600000000001</v>
      </c>
      <c r="G8" s="1">
        <v>7.7999999999999996E-3</v>
      </c>
      <c r="H8" s="1">
        <v>9.9000000000000008E-3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174780</v>
      </c>
      <c r="C9" s="1">
        <v>174453</v>
      </c>
      <c r="D9" s="1">
        <v>1.2017199999999999</v>
      </c>
      <c r="E9" s="1">
        <v>10.685600000000001</v>
      </c>
      <c r="F9" s="1">
        <v>14.086499999999999</v>
      </c>
      <c r="G9" s="1">
        <v>9.2999999999999992E-3</v>
      </c>
      <c r="H9" s="1">
        <v>1.23E-2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174781</v>
      </c>
      <c r="C10" s="1">
        <v>174454</v>
      </c>
      <c r="D10" s="1">
        <v>1.2017199999999999</v>
      </c>
      <c r="E10" s="1">
        <v>8.0395699999999994</v>
      </c>
      <c r="F10" s="1">
        <v>11.4405</v>
      </c>
      <c r="G10" s="1">
        <v>1.15E-2</v>
      </c>
      <c r="H10" s="1">
        <v>1.6299999999999999E-2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174782</v>
      </c>
      <c r="C11" s="1">
        <v>174455</v>
      </c>
      <c r="D11" s="1">
        <v>1.2016500000000001</v>
      </c>
      <c r="E11" s="1">
        <v>5.3425500000000001</v>
      </c>
      <c r="F11" s="1">
        <v>8.7435200000000002</v>
      </c>
      <c r="G11" s="1">
        <v>1.4999999999999999E-2</v>
      </c>
      <c r="H11" s="1">
        <v>2.46E-2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174783</v>
      </c>
      <c r="C12" s="1">
        <v>174456</v>
      </c>
      <c r="D12" s="1">
        <v>1.2016500000000001</v>
      </c>
      <c r="E12" s="1">
        <v>2.5495399999999999</v>
      </c>
      <c r="F12" s="1">
        <v>5.9504999999999999</v>
      </c>
      <c r="G12" s="1">
        <v>2.2100000000000002E-2</v>
      </c>
      <c r="H12" s="1">
        <v>5.16E-2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174784</v>
      </c>
      <c r="C13" s="1">
        <v>174456</v>
      </c>
      <c r="D13" s="1">
        <v>2.3691200000000001</v>
      </c>
      <c r="E13" s="1">
        <v>2.5495399999999999</v>
      </c>
      <c r="F13" s="1">
        <v>5.9504999999999999</v>
      </c>
      <c r="G13" s="1">
        <v>4.36E-2</v>
      </c>
      <c r="H13" s="1">
        <v>0.1018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174785</v>
      </c>
      <c r="C14" s="1">
        <v>174456</v>
      </c>
      <c r="D14" s="1">
        <v>4.6897900000000003</v>
      </c>
      <c r="E14" s="1">
        <v>2.5495399999999999</v>
      </c>
      <c r="F14" s="1">
        <v>5.9504999999999999</v>
      </c>
      <c r="G14" s="1">
        <v>8.6400000000000005E-2</v>
      </c>
      <c r="H14" s="1">
        <v>0.2016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644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644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174779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1.03129160145</v>
      </c>
      <c r="K22" s="1">
        <v>6073</v>
      </c>
      <c r="L22" s="1">
        <v>43.950296000000002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174780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1.03129160145</v>
      </c>
      <c r="K23" s="1">
        <v>6065</v>
      </c>
      <c r="L23" s="1">
        <v>37.744565999999999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174781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1.03129160145</v>
      </c>
      <c r="K24" s="1">
        <v>6051</v>
      </c>
      <c r="L24" s="1">
        <v>77.107849999999999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174782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1.03129160145</v>
      </c>
      <c r="K25" s="1">
        <v>6021</v>
      </c>
      <c r="L25" s="1">
        <v>76.697627999999995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174783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5.1700000000000003E-2</v>
      </c>
      <c r="J26" s="1">
        <v>1.03129160145</v>
      </c>
      <c r="K26" s="1">
        <v>18004</v>
      </c>
      <c r="L26" s="1">
        <v>377.27930900000001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174784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1.03129160145</v>
      </c>
      <c r="K27" s="1">
        <v>18003</v>
      </c>
      <c r="L27" s="1">
        <v>844.70982100000003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174785</v>
      </c>
      <c r="D28" s="1">
        <v>174456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</v>
      </c>
      <c r="J28" s="1">
        <v>1.03129160145</v>
      </c>
      <c r="K28" s="1">
        <v>36020</v>
      </c>
      <c r="L28" s="1">
        <v>987.58193000000006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8.3469176538099998E-3</v>
      </c>
      <c r="B41" s="1">
        <v>1.1385785181500001</v>
      </c>
      <c r="C41" s="1">
        <v>0.156861925081</v>
      </c>
      <c r="D41" s="1">
        <v>5.9197910603799996E-4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8.4303868303500003E-3</v>
      </c>
      <c r="B42" s="1">
        <v>1.0746612338199999</v>
      </c>
      <c r="C42" s="1">
        <v>0.110997594284</v>
      </c>
      <c r="D42" s="1">
        <v>5.9389889709799998E-4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8.5146906986500008E-3</v>
      </c>
      <c r="B43" s="1">
        <v>1.1752610617499999</v>
      </c>
      <c r="C43" s="1">
        <v>9.2877033791799998E-2</v>
      </c>
      <c r="D43" s="1">
        <v>5.9583788606899996E-4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8.5998376056400008E-3</v>
      </c>
      <c r="B44" s="1">
        <v>1.1633464303200001</v>
      </c>
      <c r="C44" s="1">
        <v>8.3395909171499999E-2</v>
      </c>
      <c r="D44" s="1">
        <v>5.9779626492999997E-4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8.6858359817000002E-3</v>
      </c>
      <c r="B45" s="1">
        <v>0.96492856347300004</v>
      </c>
      <c r="C45" s="1">
        <v>7.0950347432100005E-2</v>
      </c>
      <c r="D45" s="1">
        <v>5.9977422757899999E-4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8.7726943415100001E-3</v>
      </c>
      <c r="B46" s="1">
        <v>1.0300415195699999</v>
      </c>
      <c r="C46" s="1">
        <v>7.2126090023600001E-2</v>
      </c>
      <c r="D46" s="1">
        <v>6.0177196985499999E-4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8.86042128493E-3</v>
      </c>
      <c r="B47" s="1">
        <v>1.0532122489</v>
      </c>
      <c r="C47" s="1">
        <v>6.9879166374199997E-2</v>
      </c>
      <c r="D47" s="1">
        <v>6.0378968955299996E-4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8.9490254977800006E-3</v>
      </c>
      <c r="B48" s="1">
        <v>0.99683303191600003</v>
      </c>
      <c r="C48" s="1">
        <v>6.4581078169200001E-2</v>
      </c>
      <c r="D48" s="1">
        <v>6.0582758644900001E-4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9.0385157527600006E-3</v>
      </c>
      <c r="B49" s="1">
        <v>0.96180526612399997</v>
      </c>
      <c r="C49" s="1">
        <v>6.0019425133900003E-2</v>
      </c>
      <c r="D49" s="1">
        <v>6.0788586231300004E-4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9.1289009102799995E-3</v>
      </c>
      <c r="B50" s="1">
        <v>0.99510327171900004</v>
      </c>
      <c r="C50" s="1">
        <v>6.1005017563600002E-2</v>
      </c>
      <c r="D50" s="1">
        <v>6.0996472093700004E-4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9.2201899193900001E-3</v>
      </c>
      <c r="B51" s="1">
        <v>0.97972663891099998</v>
      </c>
      <c r="C51" s="1">
        <v>5.8772212953200002E-2</v>
      </c>
      <c r="D51" s="1">
        <v>6.1206436814599996E-4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9.3123918185800004E-3</v>
      </c>
      <c r="B52" s="1">
        <v>0.97042627335300002</v>
      </c>
      <c r="C52" s="1">
        <v>5.7026230103299998E-2</v>
      </c>
      <c r="D52" s="1">
        <v>6.1418501182700005E-4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9.4055157367700006E-3</v>
      </c>
      <c r="B53" s="1">
        <v>0.99881757666000004</v>
      </c>
      <c r="C53" s="1">
        <v>4.2644019913799999E-2</v>
      </c>
      <c r="D53" s="1">
        <v>6.1632686194599997E-4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9.4995708941299998E-3</v>
      </c>
      <c r="B54" s="1">
        <v>0.93496066676099998</v>
      </c>
      <c r="C54" s="1">
        <v>3.8813952745500001E-2</v>
      </c>
      <c r="D54" s="1">
        <v>6.1849013056499997E-4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9.5945666030799997E-3</v>
      </c>
      <c r="B55" s="1">
        <v>0.96486740995099995</v>
      </c>
      <c r="C55" s="1">
        <v>3.8044097216400001E-2</v>
      </c>
      <c r="D55" s="1">
        <v>6.2067503187099998E-4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9.69051226911E-3</v>
      </c>
      <c r="B56" s="1">
        <v>0.95876135894400005</v>
      </c>
      <c r="C56" s="1">
        <v>3.7026240290700001E-2</v>
      </c>
      <c r="D56" s="1">
        <v>6.2288178218900003E-4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9.7874173918000001E-3</v>
      </c>
      <c r="B57" s="1">
        <v>0.95301623074399999</v>
      </c>
      <c r="C57" s="1">
        <v>3.6484216762799997E-2</v>
      </c>
      <c r="D57" s="1">
        <v>6.2511060001099999E-4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9.8852915657199995E-3</v>
      </c>
      <c r="B58" s="1">
        <v>0.87113009020099996</v>
      </c>
      <c r="C58" s="1">
        <v>5.1359457716199999E-2</v>
      </c>
      <c r="D58" s="1">
        <v>6.2736170601099999E-4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9.9841444813699998E-3</v>
      </c>
      <c r="B59" s="1">
        <v>0.79810849626299996</v>
      </c>
      <c r="C59" s="1">
        <v>4.6886840252899999E-2</v>
      </c>
      <c r="D59" s="1">
        <v>6.2963532307199995E-4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1.0083985926200001E-2</v>
      </c>
      <c r="B60" s="1">
        <v>0.55483134088399999</v>
      </c>
      <c r="C60" s="1">
        <v>3.8231230641299997E-2</v>
      </c>
      <c r="D60" s="1">
        <v>6.3193167630200004E-4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1.01848257854E-2</v>
      </c>
      <c r="B61" s="1">
        <v>0.49693596461799999</v>
      </c>
      <c r="C61" s="1">
        <v>3.5691023645100003E-2</v>
      </c>
      <c r="D61" s="1">
        <v>6.3425099306499996E-4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1.02866740433E-2</v>
      </c>
      <c r="B62" s="1">
        <v>0.304283184682</v>
      </c>
      <c r="C62" s="1">
        <v>2.7146961796299999E-2</v>
      </c>
      <c r="D62" s="1">
        <v>6.3659350299599996E-4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1.03895407837E-2</v>
      </c>
      <c r="B63" s="1">
        <v>0.28714475567800002</v>
      </c>
      <c r="C63" s="1">
        <v>2.5940681693500001E-2</v>
      </c>
      <c r="D63" s="1">
        <v>6.3895943802600005E-4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1.04934361916E-2</v>
      </c>
      <c r="B64" s="1">
        <v>0.279398853901</v>
      </c>
      <c r="C64" s="1">
        <v>2.47647596576E-2</v>
      </c>
      <c r="D64" s="1">
        <v>6.4134903240600002E-4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1.05983705535E-2</v>
      </c>
      <c r="B65" s="1">
        <v>0.26497334776499998</v>
      </c>
      <c r="C65" s="1">
        <v>2.3197104291400001E-2</v>
      </c>
      <c r="D65" s="1">
        <v>6.4376252273E-4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1.0704354259E-2</v>
      </c>
      <c r="B66" s="1">
        <v>0.24510931494900001</v>
      </c>
      <c r="C66" s="1">
        <v>2.19031922091E-2</v>
      </c>
      <c r="D66" s="1">
        <v>6.46200147958E-4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1.08113978016E-2</v>
      </c>
      <c r="B67" s="1">
        <v>0.21479293782799999</v>
      </c>
      <c r="C67" s="1">
        <v>1.9852460280300001E-2</v>
      </c>
      <c r="D67" s="1">
        <v>6.4866214943700004E-4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1.0919511779600001E-2</v>
      </c>
      <c r="B68" s="1">
        <v>0.246922600055</v>
      </c>
      <c r="C68" s="1">
        <v>2.0646935614600001E-2</v>
      </c>
      <c r="D68" s="1">
        <v>6.5114877093200004E-4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1.1028706897400001E-2</v>
      </c>
      <c r="B69" s="1">
        <v>0.21583740012700001</v>
      </c>
      <c r="C69" s="1">
        <v>1.90751135833E-2</v>
      </c>
      <c r="D69" s="1">
        <v>6.5366025864100003E-4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1.11389939664E-2</v>
      </c>
      <c r="B70" s="1">
        <v>0.198033589856</v>
      </c>
      <c r="C70" s="1">
        <v>1.7347339721499998E-2</v>
      </c>
      <c r="D70" s="1">
        <v>6.5619686122700004E-4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1.12503839061E-2</v>
      </c>
      <c r="B71" s="1">
        <v>0.17023027319199999</v>
      </c>
      <c r="C71" s="1">
        <v>1.6407922544899999E-2</v>
      </c>
      <c r="D71" s="1">
        <v>6.5875882983899999E-4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1.1362887745099999E-2</v>
      </c>
      <c r="B72" s="1">
        <v>0.14945066360699999</v>
      </c>
      <c r="C72" s="1">
        <v>1.4792627155700001E-2</v>
      </c>
      <c r="D72" s="1">
        <v>6.6134641813799997E-4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1.14765166226E-2</v>
      </c>
      <c r="B73" s="1">
        <v>0.14408320984</v>
      </c>
      <c r="C73" s="1">
        <v>1.42136700729E-2</v>
      </c>
      <c r="D73" s="1">
        <v>6.6395988231899997E-4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1.1591281788799999E-2</v>
      </c>
      <c r="B74" s="1">
        <v>0.147887268431</v>
      </c>
      <c r="C74" s="1">
        <v>8.5721814812699994E-3</v>
      </c>
      <c r="D74" s="1">
        <v>6.6659948114199997E-4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1.17071946067E-2</v>
      </c>
      <c r="B75" s="1">
        <v>0.12072599980400001</v>
      </c>
      <c r="C75" s="1">
        <v>7.2381088966099998E-3</v>
      </c>
      <c r="D75" s="1">
        <v>6.69265475954E-4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1.18242665528E-2</v>
      </c>
      <c r="B76" s="1">
        <v>0.10610620134900001</v>
      </c>
      <c r="C76" s="1">
        <v>6.6892862156100004E-3</v>
      </c>
      <c r="D76" s="1">
        <v>6.7195813071299995E-4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1.19425092183E-2</v>
      </c>
      <c r="B77" s="1">
        <v>0.10379744511199999</v>
      </c>
      <c r="C77" s="1">
        <v>6.4870739625299996E-3</v>
      </c>
      <c r="D77" s="1">
        <v>6.7467771202100004E-4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1.2061934310500001E-2</v>
      </c>
      <c r="B78" s="1">
        <v>6.90925491246E-2</v>
      </c>
      <c r="C78" s="1">
        <v>5.1556429468999996E-3</v>
      </c>
      <c r="D78" s="1">
        <v>6.7742448914099999E-4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1.2182553653599999E-2</v>
      </c>
      <c r="B79" s="1">
        <v>5.3620372429899997E-2</v>
      </c>
      <c r="C79" s="1">
        <v>5.5008574144400002E-3</v>
      </c>
      <c r="D79" s="1">
        <v>6.8019873403200003E-4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1.2304379190100001E-2</v>
      </c>
      <c r="B80" s="1">
        <v>5.2682275063200001E-2</v>
      </c>
      <c r="C80" s="1">
        <v>5.2274400753500004E-3</v>
      </c>
      <c r="D80" s="1">
        <v>6.8300072137200002E-4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1.2427422981999999E-2</v>
      </c>
      <c r="B81" s="1">
        <v>5.1596339440199999E-2</v>
      </c>
      <c r="C81" s="1">
        <v>5.07271860496E-3</v>
      </c>
      <c r="D81" s="1">
        <v>6.8583072858600003E-4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1.25516972118E-2</v>
      </c>
      <c r="B82" s="1">
        <v>3.2984320278000002E-2</v>
      </c>
      <c r="C82" s="1">
        <v>4.2502247563899996E-3</v>
      </c>
      <c r="D82" s="1">
        <v>6.8868903587199996E-4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1.26772141839E-2</v>
      </c>
      <c r="B83" s="1">
        <v>3.55803604483E-2</v>
      </c>
      <c r="C83" s="1">
        <v>4.0571313806200002E-3</v>
      </c>
      <c r="D83" s="1">
        <v>6.9157592623100004E-4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1.28039863258E-2</v>
      </c>
      <c r="B84" s="1">
        <v>3.1917479765300003E-2</v>
      </c>
      <c r="C84" s="1">
        <v>3.8611628621499998E-3</v>
      </c>
      <c r="D84" s="1">
        <v>6.9449168549300003E-4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1.2932026189000001E-2</v>
      </c>
      <c r="B85" s="1">
        <v>2.06057679841E-2</v>
      </c>
      <c r="C85" s="1">
        <v>2.9632513458800001E-3</v>
      </c>
      <c r="D85" s="1">
        <v>6.9743660234799999E-4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1.3061346450899999E-2</v>
      </c>
      <c r="B86" s="1">
        <v>1.77841550099E-2</v>
      </c>
      <c r="C86" s="1">
        <v>2.82590897185E-3</v>
      </c>
      <c r="D86" s="1">
        <v>7.0041096837200004E-4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1.31919599154E-2</v>
      </c>
      <c r="B87" s="1">
        <v>2.6124775019500002E-2</v>
      </c>
      <c r="C87" s="1">
        <v>3.0747988562699999E-3</v>
      </c>
      <c r="D87" s="1">
        <v>7.0341507805499995E-4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1.33238795146E-2</v>
      </c>
      <c r="B88" s="1">
        <v>2.1722971389899998E-2</v>
      </c>
      <c r="C88" s="1">
        <v>2.7826903018100002E-3</v>
      </c>
      <c r="D88" s="1">
        <v>7.0644922883600001E-4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1.3457118309700001E-2</v>
      </c>
      <c r="B89" s="1">
        <v>1.81910878516E-2</v>
      </c>
      <c r="C89" s="1">
        <v>2.4986743224500001E-3</v>
      </c>
      <c r="D89" s="1">
        <v>7.0951372112399997E-4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1.3591689492799999E-2</v>
      </c>
      <c r="B90" s="1">
        <v>1.7979120345400001E-2</v>
      </c>
      <c r="C90" s="1">
        <v>2.4077066373900001E-3</v>
      </c>
      <c r="D90" s="1">
        <v>7.1260885833499996E-4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1.37276063878E-2</v>
      </c>
      <c r="B91" s="1">
        <v>2.1973704739699999E-2</v>
      </c>
      <c r="C91" s="1">
        <v>2.5179979696699998E-3</v>
      </c>
      <c r="D91" s="1">
        <v>7.1573494691900001E-4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1.3864882451600001E-2</v>
      </c>
      <c r="B92" s="1">
        <v>2.22586908279E-2</v>
      </c>
      <c r="C92" s="1">
        <v>2.54835867714E-3</v>
      </c>
      <c r="D92" s="86">
        <v>7.1889229638800003E-4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1.40035312762E-2</v>
      </c>
      <c r="B93" s="1">
        <v>2.3867816030399999E-2</v>
      </c>
      <c r="C93" s="1">
        <v>2.5763540495800001E-3</v>
      </c>
      <c r="D93" s="1">
        <v>7.2208121935199996E-4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1.41435665889E-2</v>
      </c>
      <c r="B94" s="1">
        <v>2.6809490185199999E-2</v>
      </c>
      <c r="C94" s="1">
        <v>2.6806006457999998E-3</v>
      </c>
      <c r="D94" s="1">
        <v>7.2530203154500005E-4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1.42850022548E-2</v>
      </c>
      <c r="B95" s="1">
        <v>2.9433440861900001E-2</v>
      </c>
      <c r="C95" s="1">
        <v>2.6790444341799999E-3</v>
      </c>
      <c r="D95" s="1">
        <v>7.2855505186099996E-4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1.44278522774E-2</v>
      </c>
      <c r="B96" s="1">
        <v>3.12750791599E-2</v>
      </c>
      <c r="C96" s="1">
        <v>2.7091323270499999E-3</v>
      </c>
      <c r="D96" s="1">
        <v>7.3184060237899997E-4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1.4572130800099999E-2</v>
      </c>
      <c r="B97" s="1">
        <v>3.00167795721E-2</v>
      </c>
      <c r="C97" s="1">
        <v>2.57610018075E-3</v>
      </c>
      <c r="D97" s="1">
        <v>7.3515900840299996E-4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1.4717852108099999E-2</v>
      </c>
      <c r="B98" s="1">
        <v>3.1559204714999997E-2</v>
      </c>
      <c r="C98" s="1">
        <v>2.62124697371E-3</v>
      </c>
      <c r="D98" s="1">
        <v>7.3851059848700003E-4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1.4865030629200001E-2</v>
      </c>
      <c r="B99" s="1">
        <v>3.0943845401100002E-2</v>
      </c>
      <c r="C99" s="1">
        <v>2.5271563134499999E-3</v>
      </c>
      <c r="D99" s="1">
        <v>7.4189570447199995E-4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1.50136809355E-2</v>
      </c>
      <c r="B100" s="1">
        <v>3.0009579454399998E-2</v>
      </c>
      <c r="C100" s="1">
        <v>2.4132837957199999E-3</v>
      </c>
      <c r="D100" s="1">
        <v>7.4531466151699999E-4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1.5163817744900001E-2</v>
      </c>
      <c r="B101" s="1">
        <v>2.8374405318399999E-2</v>
      </c>
      <c r="C101" s="1">
        <v>1.6961148582899999E-3</v>
      </c>
      <c r="D101" s="1">
        <v>7.4876780813200002E-4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1.5315455922300001E-2</v>
      </c>
      <c r="B102" s="1">
        <v>2.6862931495800001E-2</v>
      </c>
      <c r="C102" s="1">
        <v>1.57075782847E-3</v>
      </c>
      <c r="D102" s="1">
        <v>7.5225548621300005E-4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1.54686104815E-2</v>
      </c>
      <c r="B103" s="1">
        <v>2.5841003801E-2</v>
      </c>
      <c r="C103" s="1">
        <v>1.5362975420999999E-3</v>
      </c>
      <c r="D103" s="1">
        <v>7.5577804107499998E-4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1.56232965864E-2</v>
      </c>
      <c r="B104" s="1">
        <v>2.40868333044E-2</v>
      </c>
      <c r="C104" s="1">
        <v>1.41887749799E-3</v>
      </c>
      <c r="D104" s="1">
        <v>7.5933582148599997E-4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1.5779529552200001E-2</v>
      </c>
      <c r="B105" s="1">
        <v>2.2683121644899999E-2</v>
      </c>
      <c r="C105" s="1">
        <v>1.3272990446399999E-3</v>
      </c>
      <c r="D105" s="1">
        <v>7.6292917970100004E-4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1.59373248477E-2</v>
      </c>
      <c r="B106" s="1">
        <v>2.17971303627E-2</v>
      </c>
      <c r="C106" s="1">
        <v>1.28644152886E-3</v>
      </c>
      <c r="D106" s="1">
        <v>7.6655847149800001E-4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1.6096698096199999E-2</v>
      </c>
      <c r="B107" s="1">
        <v>1.8121424376900001E-2</v>
      </c>
      <c r="C107" s="1">
        <v>1.1863321752699999E-3</v>
      </c>
      <c r="D107" s="1">
        <v>7.7022405621299998E-4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1.6257665077200001E-2</v>
      </c>
      <c r="B108" s="1">
        <v>1.96926160633E-2</v>
      </c>
      <c r="C108" s="1">
        <v>1.7460309542399999E-3</v>
      </c>
      <c r="D108" s="1">
        <v>7.7392629677499995E-4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1.6420241727999999E-2</v>
      </c>
      <c r="B109" s="1">
        <v>1.41315269203E-2</v>
      </c>
      <c r="C109" s="1">
        <v>1.4107413908100001E-3</v>
      </c>
      <c r="D109" s="1">
        <v>7.7766555974299997E-4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1.6584444145200002E-2</v>
      </c>
      <c r="B110" s="1">
        <v>1.0362045149599999E-2</v>
      </c>
      <c r="C110" s="1">
        <v>1.1763592309599999E-3</v>
      </c>
      <c r="D110" s="1">
        <v>7.8144221533999999E-4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1.67502885867E-2</v>
      </c>
      <c r="B111" s="1">
        <v>1.06304047204E-2</v>
      </c>
      <c r="C111" s="1">
        <v>1.1909418031E-3</v>
      </c>
      <c r="D111" s="1">
        <v>7.8525663749399999E-4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1.6917791472599999E-2</v>
      </c>
      <c r="B112" s="1">
        <v>6.7508190458099998E-3</v>
      </c>
      <c r="C112" s="1">
        <v>9.5838356448399995E-4</v>
      </c>
      <c r="D112" s="1">
        <v>7.8910920386899999E-4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1.7086969387300002E-2</v>
      </c>
      <c r="B113" s="1">
        <v>8.9665355274199995E-3</v>
      </c>
      <c r="C113" s="1">
        <v>1.07492232434E-3</v>
      </c>
      <c r="D113" s="1">
        <v>7.9300029590700005E-4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1.7257839081199999E-2</v>
      </c>
      <c r="B114" s="1">
        <v>7.2017122798300002E-3</v>
      </c>
      <c r="C114" s="1">
        <v>9.3299755420299998E-4</v>
      </c>
      <c r="D114" s="1">
        <v>7.9693029886600004E-4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1.7430417472000002E-2</v>
      </c>
      <c r="B115" s="1">
        <v>6.6108129789999998E-3</v>
      </c>
      <c r="C115" s="1">
        <v>8.89173398389E-4</v>
      </c>
      <c r="D115" s="1">
        <v>8.0089960185499996E-4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1.7604721646699999E-2</v>
      </c>
      <c r="B116" s="1">
        <v>6.7005788317599999E-3</v>
      </c>
      <c r="C116" s="1">
        <v>8.8838725778799996E-4</v>
      </c>
      <c r="D116" s="1">
        <v>8.0490859787399999E-4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1.77807688631E-2</v>
      </c>
      <c r="B117" s="1">
        <v>5.64777341419E-3</v>
      </c>
      <c r="C117" s="1">
        <v>7.6479498167200005E-4</v>
      </c>
      <c r="D117" s="1">
        <v>8.08957683852E-4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1.7958576551799998E-2</v>
      </c>
      <c r="B118" s="1">
        <v>4.6464927198299998E-3</v>
      </c>
      <c r="C118" s="1">
        <v>7.0088820413500002E-4</v>
      </c>
      <c r="D118" s="1">
        <v>8.1304726069100005E-4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1.8138162317300002E-2</v>
      </c>
      <c r="B119" s="1">
        <v>4.5995459116500003E-3</v>
      </c>
      <c r="C119" s="1">
        <v>6.9344890888300005E-4</v>
      </c>
      <c r="D119" s="1">
        <v>8.17177733298E-4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1.8319543940500001E-2</v>
      </c>
      <c r="B120" s="1">
        <v>4.8896514233699997E-3</v>
      </c>
      <c r="C120" s="1">
        <v>6.9329829865299997E-4</v>
      </c>
      <c r="D120" s="1">
        <v>8.2134951063100002E-4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1.8502739379900001E-2</v>
      </c>
      <c r="B121" s="1">
        <v>5.1185618897800003E-3</v>
      </c>
      <c r="C121" s="1">
        <v>6.88667345079E-4</v>
      </c>
      <c r="D121" s="1">
        <v>8.2556300573700004E-4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1.8687766773700001E-2</v>
      </c>
      <c r="B122" s="1">
        <v>7.1531774317100004E-3</v>
      </c>
      <c r="C122" s="1">
        <v>8.0429703178800001E-4</v>
      </c>
      <c r="D122" s="1">
        <v>8.2981863579399998E-4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1.8874644441399999E-2</v>
      </c>
      <c r="B123" s="1">
        <v>7.9169712444699999E-3</v>
      </c>
      <c r="C123" s="1">
        <v>8.0899612133499997E-4</v>
      </c>
      <c r="D123" s="1">
        <v>8.34116822152E-4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1.9063390885799999E-2</v>
      </c>
      <c r="B124" s="1">
        <v>6.99631176169E-3</v>
      </c>
      <c r="C124" s="1">
        <v>7.6901511908999997E-4</v>
      </c>
      <c r="D124" s="1">
        <v>8.3845799037399996E-4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1.9254024794699998E-2</v>
      </c>
      <c r="B125" s="1">
        <v>7.8953678088900005E-3</v>
      </c>
      <c r="C125" s="1">
        <v>7.8146028541200001E-4</v>
      </c>
      <c r="D125" s="1">
        <v>8.4284257027799996E-4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1.9446565042599999E-2</v>
      </c>
      <c r="B126" s="1">
        <v>7.5024206602899999E-3</v>
      </c>
      <c r="C126" s="1">
        <v>7.4503155814099995E-4</v>
      </c>
      <c r="D126" s="1">
        <v>8.4727099597999998E-4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1.9641030693100001E-2</v>
      </c>
      <c r="B127" s="1">
        <v>8.7733439105700008E-3</v>
      </c>
      <c r="C127" s="1">
        <v>7.9081313434499999E-4</v>
      </c>
      <c r="D127" s="1">
        <v>8.5174370594E-4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1.9837441000000001E-2</v>
      </c>
      <c r="B128" s="1">
        <v>7.4546953344700002E-3</v>
      </c>
      <c r="C128" s="1">
        <v>7.2766952987E-4</v>
      </c>
      <c r="D128" s="1">
        <v>8.5626114299999995E-4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2.0035815410000001E-2</v>
      </c>
      <c r="B129" s="1">
        <v>9.0340319850499996E-3</v>
      </c>
      <c r="C129" s="1">
        <v>7.9255728799400001E-4</v>
      </c>
      <c r="D129" s="1">
        <v>8.6082375442999995E-4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2.0236173564099999E-2</v>
      </c>
      <c r="B130" s="1">
        <v>6.7222949842000003E-3</v>
      </c>
      <c r="C130" s="1">
        <v>6.6760119202199995E-4</v>
      </c>
      <c r="D130" s="1">
        <v>8.6543199197399996E-4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2.0438535299700002E-2</v>
      </c>
      <c r="B131" s="1">
        <v>7.7489397175299997E-3</v>
      </c>
      <c r="C131" s="1">
        <v>6.98921621165E-4</v>
      </c>
      <c r="D131" s="1">
        <v>8.7008631189400005E-4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2.06429206527E-2</v>
      </c>
      <c r="B132" s="1">
        <v>6.6095675379099997E-3</v>
      </c>
      <c r="C132" s="1">
        <v>6.3564670393199995E-4</v>
      </c>
      <c r="D132" s="1">
        <v>8.7478717501299999E-4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2.0849349859299999E-2</v>
      </c>
      <c r="B133" s="1">
        <v>6.4964480316399998E-3</v>
      </c>
      <c r="C133" s="1">
        <v>6.2491640132700005E-4</v>
      </c>
      <c r="D133" s="1">
        <v>8.7953504676300002E-4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2.1057843357800001E-2</v>
      </c>
      <c r="B134" s="1">
        <v>6.2597267591099999E-3</v>
      </c>
      <c r="C134" s="1">
        <v>6.0912129424E-4</v>
      </c>
      <c r="D134" s="1">
        <v>8.8433039722999999E-4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2.12684217914E-2</v>
      </c>
      <c r="B135" s="1">
        <v>5.1194554843299999E-3</v>
      </c>
      <c r="C135" s="1">
        <v>5.4201013531700001E-4</v>
      </c>
      <c r="D135" s="1">
        <v>8.8917370120300001E-4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2.1481106009300002E-2</v>
      </c>
      <c r="B136" s="1">
        <v>2.9044540142200001E-3</v>
      </c>
      <c r="C136" s="1">
        <v>4.2198657726400001E-4</v>
      </c>
      <c r="D136" s="1">
        <v>8.9406543821499997E-4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2.1695917069400002E-2</v>
      </c>
      <c r="B137" s="1">
        <v>3.6087310208500001E-3</v>
      </c>
      <c r="C137" s="1">
        <v>4.5142678922800001E-4</v>
      </c>
      <c r="D137" s="1">
        <v>8.9900609259699999E-4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2.19128762401E-2</v>
      </c>
      <c r="B138" s="1">
        <v>2.9243600153E-3</v>
      </c>
      <c r="C138" s="1">
        <v>4.0115339233900001E-4</v>
      </c>
      <c r="D138" s="1">
        <v>9.0399615352299999E-4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2.21320050025E-2</v>
      </c>
      <c r="B139" s="1">
        <v>1.81505134181E-3</v>
      </c>
      <c r="C139" s="1">
        <v>3.20699908697E-4</v>
      </c>
      <c r="D139" s="1">
        <v>9.0903611505800002E-4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2.2353325052600001E-2</v>
      </c>
      <c r="B140" s="1">
        <v>2.0729160085999998E-3</v>
      </c>
      <c r="C140" s="1">
        <v>1.41954962172E-4</v>
      </c>
      <c r="D140" s="1">
        <v>9.1412647620899999E-4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2.2576858303100002E-2</v>
      </c>
      <c r="B141" s="1">
        <v>1.6092254843200001E-3</v>
      </c>
      <c r="C141" s="1">
        <v>1.2259979319599999E-4</v>
      </c>
      <c r="D141" s="1">
        <v>9.1926774097100003E-4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2.2802626886099998E-2</v>
      </c>
      <c r="B142" s="1">
        <v>1.59910425626E-3</v>
      </c>
      <c r="C142" s="1">
        <v>1.15778289118E-4</v>
      </c>
      <c r="D142" s="1">
        <v>9.2446041838000002E-4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2.3030653155000001E-2</v>
      </c>
      <c r="B143" s="1">
        <v>1.4529680583399999E-3</v>
      </c>
      <c r="C143" s="1">
        <v>1.02031526718E-4</v>
      </c>
      <c r="D143" s="1">
        <v>9.29705022564E-4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2.32609596865E-2</v>
      </c>
      <c r="B144" s="1">
        <v>1.7588128381200001E-3</v>
      </c>
      <c r="C144" s="1">
        <v>1.16350964773E-4</v>
      </c>
      <c r="D144" s="1">
        <v>9.3500207279000004E-4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2.34935692834E-2</v>
      </c>
      <c r="B145" s="1">
        <v>1.8687957507699999E-3</v>
      </c>
      <c r="C145" s="1">
        <v>1.1871932603099999E-4</v>
      </c>
      <c r="D145" s="1">
        <v>9.4035209351799997E-4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2.37285049762E-2</v>
      </c>
      <c r="B146" s="1">
        <v>2.1242151914599998E-3</v>
      </c>
      <c r="C146" s="1">
        <v>1.2563323580900001E-4</v>
      </c>
      <c r="D146" s="1">
        <v>9.4575561445300004E-4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2.3965790026000001E-2</v>
      </c>
      <c r="B147" s="1">
        <v>2.5067926212899998E-3</v>
      </c>
      <c r="C147" s="1">
        <v>1.36275095348E-4</v>
      </c>
      <c r="D147" s="1">
        <v>9.5121317059800004E-4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2.42054479262E-2</v>
      </c>
      <c r="B148" s="1">
        <v>2.7295102842400001E-3</v>
      </c>
      <c r="C148" s="1">
        <v>1.4247830758700001E-4</v>
      </c>
      <c r="D148" s="1">
        <v>9.5672530230299997E-4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2.4447502405500001E-2</v>
      </c>
      <c r="B149" s="1">
        <v>3.0695407782099999E-3</v>
      </c>
      <c r="C149" s="1">
        <v>1.5939877003900001E-4</v>
      </c>
      <c r="D149" s="1">
        <v>9.62292555327E-4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2.4691977429599998E-2</v>
      </c>
      <c r="B150" s="1">
        <v>3.1253251105500001E-3</v>
      </c>
      <c r="C150" s="1">
        <v>1.6180014844599999E-4</v>
      </c>
      <c r="D150" s="1">
        <v>9.6791548087999996E-4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2.4938897203899999E-2</v>
      </c>
      <c r="B151" s="1">
        <v>3.2986046527200001E-3</v>
      </c>
      <c r="C151" s="1">
        <v>1.6567875704199999E-4</v>
      </c>
      <c r="D151" s="1">
        <v>9.7359463568899996E-4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2.51882861759E-2</v>
      </c>
      <c r="B152" s="1">
        <v>3.3561987956100001E-3</v>
      </c>
      <c r="C152" s="1">
        <v>1.62416712875E-4</v>
      </c>
      <c r="D152" s="1">
        <v>9.7933058204499992E-4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2.5440169037600002E-2</v>
      </c>
      <c r="B153" s="1">
        <v>3.2198657629300001E-3</v>
      </c>
      <c r="C153" s="1">
        <v>1.58062017398E-4</v>
      </c>
      <c r="D153" s="86">
        <v>9.8512388786599998E-4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2.5694570728E-2</v>
      </c>
      <c r="B154" s="1">
        <v>2.82486036054E-3</v>
      </c>
      <c r="C154" s="1">
        <v>1.4186737918600001E-4</v>
      </c>
      <c r="D154" s="1">
        <v>9.9097512674499997E-4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2.5951516435299998E-2</v>
      </c>
      <c r="B155" s="1">
        <v>2.7105687001900002E-3</v>
      </c>
      <c r="C155" s="1">
        <v>1.37417095969E-4</v>
      </c>
      <c r="D155" s="1">
        <v>9.9688487801200009E-4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2.6211031599700001E-2</v>
      </c>
      <c r="B156" s="1">
        <v>2.6212861727500001E-3</v>
      </c>
      <c r="C156" s="1">
        <v>1.37842964647E-4</v>
      </c>
      <c r="D156" s="1">
        <v>1.0028537267900001E-3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2.6473141915700001E-2</v>
      </c>
      <c r="B157" s="1">
        <v>2.1200505100300001E-3</v>
      </c>
      <c r="C157" s="1">
        <v>1.17098231531E-4</v>
      </c>
      <c r="D157" s="1">
        <v>1.00888226406E-3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2.6737873334799999E-2</v>
      </c>
      <c r="B158" s="1">
        <v>1.5539444573400001E-3</v>
      </c>
      <c r="C158" s="1">
        <v>1.00402864976E-4</v>
      </c>
      <c r="D158" s="1">
        <v>1.0149710867E-3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2.7005252068200002E-2</v>
      </c>
      <c r="B159" s="1">
        <v>1.2835222698600001E-3</v>
      </c>
      <c r="C159" s="1">
        <v>9.4169408139100003E-5</v>
      </c>
      <c r="D159" s="1">
        <v>1.02112079757E-3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2.7275304588799999E-2</v>
      </c>
      <c r="B160" s="1">
        <v>1.1887063000300001E-3</v>
      </c>
      <c r="C160" s="1">
        <v>8.9613284965500006E-5</v>
      </c>
      <c r="D160" s="1">
        <v>1.02733200554E-3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2.7548057634700002E-2</v>
      </c>
      <c r="B161" s="1">
        <v>8.6678968521500005E-4</v>
      </c>
      <c r="C161" s="1">
        <v>7.3236055885400001E-5</v>
      </c>
      <c r="D161" s="1">
        <v>1.0336053256E-3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2.78235382111E-2</v>
      </c>
      <c r="B162" s="1">
        <v>7.6514914424100002E-4</v>
      </c>
      <c r="C162" s="1">
        <v>7.1994588390599998E-5</v>
      </c>
      <c r="D162" s="1">
        <v>1.0399413788499999E-3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2.81017735932E-2</v>
      </c>
      <c r="B163" s="1">
        <v>7.1176015686500002E-4</v>
      </c>
      <c r="C163" s="1">
        <v>6.7411239776600006E-5</v>
      </c>
      <c r="D163" s="1">
        <v>1.0463407926400001E-3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2.8382791329100002E-2</v>
      </c>
      <c r="B164" s="1">
        <v>7.0122632209100003E-4</v>
      </c>
      <c r="C164" s="1">
        <v>6.8103366769899995E-5</v>
      </c>
      <c r="D164" s="1">
        <v>1.0528042005699999E-3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2.86666192424E-2</v>
      </c>
      <c r="B165" s="1">
        <v>7.9462960411500003E-4</v>
      </c>
      <c r="C165" s="1">
        <v>6.9165038201199995E-5</v>
      </c>
      <c r="D165" s="1">
        <v>1.05933224258E-3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2.89532854348E-2</v>
      </c>
      <c r="B166" s="1">
        <v>9.4494028280200004E-4</v>
      </c>
      <c r="C166" s="1">
        <v>7.6509471168599994E-5</v>
      </c>
      <c r="D166" s="1">
        <v>1.065925565E-3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2.9242818289200001E-2</v>
      </c>
      <c r="B167" s="1">
        <v>1.0321054360400001E-3</v>
      </c>
      <c r="C167" s="1">
        <v>7.9670184622300007E-5</v>
      </c>
      <c r="D167" s="1">
        <v>1.0725848206499999E-3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2.9535246472099999E-2</v>
      </c>
      <c r="B168" s="1">
        <v>1.2268070549800001E-3</v>
      </c>
      <c r="C168" s="1">
        <v>8.7542692542699995E-5</v>
      </c>
      <c r="D168" s="1">
        <v>1.0793106688599999E-3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2.9830598936799999E-2</v>
      </c>
      <c r="B169" s="1">
        <v>1.1203591151899999E-3</v>
      </c>
      <c r="C169" s="1">
        <v>8.5032578252899999E-5</v>
      </c>
      <c r="D169" s="1">
        <v>1.08610377555E-3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3.01289049262E-2</v>
      </c>
      <c r="B170" s="1">
        <v>1.2782450259400001E-3</v>
      </c>
      <c r="C170" s="1">
        <v>8.8632983841300001E-5</v>
      </c>
      <c r="D170" s="1">
        <v>1.0929648132999999E-3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3.0430193975400002E-2</v>
      </c>
      <c r="B171" s="1">
        <v>1.4443481038799999E-3</v>
      </c>
      <c r="C171" s="1">
        <v>9.72210082767E-5</v>
      </c>
      <c r="D171" s="1">
        <v>1.09989446143E-3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3.07344959152E-2</v>
      </c>
      <c r="B172" s="1">
        <v>1.5207886072999999E-3</v>
      </c>
      <c r="C172" s="1">
        <v>1.0109165796E-4</v>
      </c>
      <c r="D172" s="1">
        <v>1.1068934060499999E-3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3.1041840874300002E-2</v>
      </c>
      <c r="B173" s="1">
        <v>1.4167691781E-3</v>
      </c>
      <c r="C173" s="1">
        <v>9.3417020366800006E-5</v>
      </c>
      <c r="D173" s="1">
        <v>1.1139623401100001E-3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3.1352259283100002E-2</v>
      </c>
      <c r="B174" s="1">
        <v>1.36454846591E-3</v>
      </c>
      <c r="C174" s="1">
        <v>9.1206757092999994E-5</v>
      </c>
      <c r="D174" s="1">
        <v>1.1211019635100001E-3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3.1665781875900002E-2</v>
      </c>
      <c r="B175" s="1">
        <v>1.0967653100900001E-3</v>
      </c>
      <c r="C175" s="1">
        <v>8.1921023305100001E-5</v>
      </c>
      <c r="D175" s="1">
        <v>1.12831298315E-3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3.19824396947E-2</v>
      </c>
      <c r="B176" s="1">
        <v>9.01514347693E-4</v>
      </c>
      <c r="C176" s="1">
        <v>7.6795195191599997E-5</v>
      </c>
      <c r="D176" s="1">
        <v>1.1355961129799999E-3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3.2302264091600003E-2</v>
      </c>
      <c r="B177" s="1">
        <v>7.5033045736000003E-4</v>
      </c>
      <c r="C177" s="1">
        <v>7.2535141786100001E-5</v>
      </c>
      <c r="D177" s="1">
        <v>1.1429520741100001E-3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3.2625286732500001E-2</v>
      </c>
      <c r="B178" s="1">
        <v>6.3504651284600005E-4</v>
      </c>
      <c r="C178" s="1">
        <v>6.47955917854E-5</v>
      </c>
      <c r="D178" s="1">
        <v>1.15038159485E-3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3.29515395999E-2</v>
      </c>
      <c r="B179" s="1">
        <v>5.7732637360700001E-4</v>
      </c>
      <c r="C179" s="1">
        <v>6.2438554834600004E-5</v>
      </c>
      <c r="D179" s="1">
        <v>1.1578854107999999E-3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3.3281054995899999E-2</v>
      </c>
      <c r="B180" s="1">
        <v>5.2659225663399996E-4</v>
      </c>
      <c r="C180" s="1">
        <v>5.8921703661499999E-5</v>
      </c>
      <c r="D180" s="1">
        <v>1.1654642648999999E-3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3.3613865545800002E-2</v>
      </c>
      <c r="B181" s="1">
        <v>3.5506801937899997E-4</v>
      </c>
      <c r="C181" s="1">
        <v>4.9611715657200001E-5</v>
      </c>
      <c r="D181" s="1">
        <v>1.1731189075499999E-3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3.3950004201300003E-2</v>
      </c>
      <c r="B182" s="1">
        <v>3.8980327044099998E-4</v>
      </c>
      <c r="C182" s="1">
        <v>5.1112532900200002E-5</v>
      </c>
      <c r="D182" s="1">
        <v>1.18085009663E-3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3.4289504243299997E-2</v>
      </c>
      <c r="B183" s="1">
        <v>4.0652086621100001E-4</v>
      </c>
      <c r="C183" s="1">
        <v>5.1860021361599997E-5</v>
      </c>
      <c r="D183" s="1">
        <v>1.1886585976000001E-3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3.46323992857E-2</v>
      </c>
      <c r="B184" s="1">
        <v>5.1215663141199999E-4</v>
      </c>
      <c r="C184" s="1">
        <v>5.82811670573E-5</v>
      </c>
      <c r="D184" s="1">
        <v>1.1965451835699999E-3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3.49787232786E-2</v>
      </c>
      <c r="B185" s="1">
        <v>5.4683379387100001E-4</v>
      </c>
      <c r="C185" s="1">
        <v>5.9335664795099999E-5</v>
      </c>
      <c r="D185" s="1">
        <v>1.20451063541E-3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3.5328510511399999E-2</v>
      </c>
      <c r="B186" s="1">
        <v>6.4314827473E-4</v>
      </c>
      <c r="C186" s="1">
        <v>6.2875538043700004E-5</v>
      </c>
      <c r="D186" s="1">
        <v>1.2125557417599999E-3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3.5681795616499999E-2</v>
      </c>
      <c r="B187" s="1">
        <v>7.0791387235400003E-4</v>
      </c>
      <c r="C187" s="1">
        <v>6.3975640168299999E-5</v>
      </c>
      <c r="D187" s="1">
        <v>1.2206812991799999E-3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3.6038613572599999E-2</v>
      </c>
      <c r="B188" s="1">
        <v>8.3487597712699998E-4</v>
      </c>
      <c r="C188" s="1">
        <v>7.2367651345999997E-5</v>
      </c>
      <c r="D188" s="1">
        <v>1.2288881121700001E-3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3.63989997084E-2</v>
      </c>
      <c r="B189" s="1">
        <v>7.6604263697900002E-4</v>
      </c>
      <c r="C189" s="1">
        <v>6.7305606917699996E-5</v>
      </c>
      <c r="D189" s="1">
        <v>1.2371769932899999E-3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3.6762989705399998E-2</v>
      </c>
      <c r="B190" s="1">
        <v>6.1418159684000005E-4</v>
      </c>
      <c r="C190" s="1">
        <v>5.8615802967599997E-5</v>
      </c>
      <c r="D190" s="1">
        <v>1.24554876323E-3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3.7130619602499998E-2</v>
      </c>
      <c r="B191" s="1">
        <v>5.3866476372899997E-4</v>
      </c>
      <c r="C191" s="1">
        <v>5.8302586627700001E-5</v>
      </c>
      <c r="D191" s="1">
        <v>1.2540042508600001E-3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3.7501925798500001E-2</v>
      </c>
      <c r="B192" s="1">
        <v>6.0243921407299996E-4</v>
      </c>
      <c r="C192" s="1">
        <v>5.9949710207400002E-5</v>
      </c>
      <c r="D192" s="1">
        <v>1.2625442933699999E-3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3.7876945056500001E-2</v>
      </c>
      <c r="B193" s="1">
        <v>4.1138581352800002E-4</v>
      </c>
      <c r="C193" s="1">
        <v>4.9404100597799998E-5</v>
      </c>
      <c r="D193" s="1">
        <v>1.2711697363000001E-3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3.8255714507099997E-2</v>
      </c>
      <c r="B194" s="1">
        <v>3.6028655810500001E-4</v>
      </c>
      <c r="C194" s="1">
        <v>4.5292128739699998E-5</v>
      </c>
      <c r="D194" s="1">
        <v>1.2798814336599999E-3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3.8638271652100001E-2</v>
      </c>
      <c r="B195" s="1">
        <v>1.93899127091E-4</v>
      </c>
      <c r="C195" s="1">
        <v>3.5100265828499999E-5</v>
      </c>
      <c r="D195" s="1">
        <v>1.288680248E-3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3.90246543687E-2</v>
      </c>
      <c r="B196" s="1">
        <v>1.7438088873399999E-4</v>
      </c>
      <c r="C196" s="1">
        <v>3.4756906470800003E-5</v>
      </c>
      <c r="D196" s="1">
        <v>1.2975670504800001E-3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3.9414900912399999E-2</v>
      </c>
      <c r="B197" s="1">
        <v>1.6536679064100001E-4</v>
      </c>
      <c r="C197" s="1">
        <v>3.2653111645000001E-5</v>
      </c>
      <c r="D197" s="1">
        <v>1.30654272098E-3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3.98090499215E-2</v>
      </c>
      <c r="B198" s="1">
        <v>2.02068234209E-4</v>
      </c>
      <c r="C198" s="1">
        <v>3.5164699398800001E-5</v>
      </c>
      <c r="D198" s="1">
        <v>1.31560814819E-3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4.0207140420699998E-2</v>
      </c>
      <c r="B199" s="1">
        <v>2.4591484868799999E-4</v>
      </c>
      <c r="C199" s="1">
        <v>3.63184108934E-5</v>
      </c>
      <c r="D199" s="1">
        <v>1.32476422968E-3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4.0609211824900002E-2</v>
      </c>
      <c r="B200" s="1">
        <v>2.8909581686400001E-4</v>
      </c>
      <c r="C200" s="1">
        <v>3.9695901386799997E-5</v>
      </c>
      <c r="D200" s="1">
        <v>1.3340118719700001E-3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4.1015303943099997E-2</v>
      </c>
      <c r="B201" s="1">
        <v>3.5961233069299999E-4</v>
      </c>
      <c r="C201" s="1">
        <v>4.56379202282E-5</v>
      </c>
      <c r="D201" s="1">
        <v>1.3433519906900001E-3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4.1425456982600001E-2</v>
      </c>
      <c r="B202" s="1">
        <v>3.8084256420799998E-4</v>
      </c>
      <c r="C202" s="1">
        <v>4.6603676476700002E-5</v>
      </c>
      <c r="D202" s="1">
        <v>1.3527855106E-3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4.1839711552400002E-2</v>
      </c>
      <c r="B203" s="1">
        <v>3.8758577512699999E-4</v>
      </c>
      <c r="C203" s="1">
        <v>4.6773026617799999E-5</v>
      </c>
      <c r="D203" s="1">
        <v>1.36231336571E-3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4.2258108667900002E-2</v>
      </c>
      <c r="B204" s="1">
        <v>3.3862878727299999E-4</v>
      </c>
      <c r="C204" s="1">
        <v>4.4332991096199998E-5</v>
      </c>
      <c r="D204" s="1">
        <v>1.37193649936E-3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4.2680689754600001E-2</v>
      </c>
      <c r="B205" s="1">
        <v>3.6944814871700001E-4</v>
      </c>
      <c r="C205" s="1">
        <v>4.6759833595600002E-5</v>
      </c>
      <c r="D205" s="1">
        <v>1.3816558643600001E-3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4.3107496652199997E-2</v>
      </c>
      <c r="B206" s="1">
        <v>2.75922906128E-4</v>
      </c>
      <c r="C206" s="1">
        <v>3.9796979913699998E-5</v>
      </c>
      <c r="D206" s="1">
        <v>1.391472423E-3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4.3538571618699999E-2</v>
      </c>
      <c r="B207" s="1">
        <v>1.7149890685600001E-4</v>
      </c>
      <c r="C207" s="1">
        <v>3.5266316834299998E-5</v>
      </c>
      <c r="D207" s="1">
        <v>1.4013871472299999E-3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4.3973957334899998E-2</v>
      </c>
      <c r="B208" s="1">
        <v>2.01810719782E-4</v>
      </c>
      <c r="C208" s="1">
        <v>1.5941409253000001E-5</v>
      </c>
      <c r="D208" s="1">
        <v>1.4114010186999999E-3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4.4413696908199997E-2</v>
      </c>
      <c r="B209" s="1">
        <v>1.6941665687700001E-4</v>
      </c>
      <c r="C209" s="1">
        <v>1.49372558492E-5</v>
      </c>
      <c r="D209" s="1">
        <v>1.4215150288899999E-3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4.4857833877300003E-2</v>
      </c>
      <c r="B210" s="1">
        <v>1.25995419701E-4</v>
      </c>
      <c r="C210" s="1">
        <v>1.18180865118E-5</v>
      </c>
      <c r="D210" s="1">
        <v>1.43173017918E-3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4.5306412216100003E-2</v>
      </c>
      <c r="B211" s="1">
        <v>9.9667408699500004E-5</v>
      </c>
      <c r="C211" s="1">
        <v>1.03628626079E-5</v>
      </c>
      <c r="D211" s="1">
        <v>1.4420474809700001E-3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4.5759476338200003E-2</v>
      </c>
      <c r="B212" s="1">
        <v>1.3031466760100001E-4</v>
      </c>
      <c r="C212" s="1">
        <v>1.15976904337E-5</v>
      </c>
      <c r="D212" s="1">
        <v>1.4524679557800001E-3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4.6217071101599998E-2</v>
      </c>
      <c r="B213" s="1">
        <v>2.1071194442800001E-4</v>
      </c>
      <c r="C213" s="1">
        <v>1.44590840359E-5</v>
      </c>
      <c r="D213" s="1">
        <v>1.46299263534E-3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4.6679241812599997E-2</v>
      </c>
      <c r="B214" s="1">
        <v>2.0545901906600001E-4</v>
      </c>
      <c r="C214" s="1">
        <v>1.39560392449E-5</v>
      </c>
      <c r="D214" s="1">
        <v>1.47362256169E-3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4.71460342308E-2</v>
      </c>
      <c r="B215" s="1">
        <v>2.57785687197E-4</v>
      </c>
      <c r="C215" s="1">
        <v>1.5942737706100001E-5</v>
      </c>
      <c r="D215" s="1">
        <v>1.48435878731E-3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4.7617494573100001E-2</v>
      </c>
      <c r="B216" s="1">
        <v>2.3886114023300001E-4</v>
      </c>
      <c r="C216" s="1">
        <v>1.5173012716400001E-5</v>
      </c>
      <c r="D216" s="1">
        <v>1.4952023751800001E-3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4.8093669518800002E-2</v>
      </c>
      <c r="B217" s="1">
        <v>2.6032047023200001E-4</v>
      </c>
      <c r="C217" s="1">
        <v>1.5340955021699999E-5</v>
      </c>
      <c r="D217" s="1">
        <v>1.5061543989299999E-3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4.8574606213999998E-2</v>
      </c>
      <c r="B218" s="1">
        <v>2.4335993117200001E-4</v>
      </c>
      <c r="C218" s="1">
        <v>1.4851021041900001E-5</v>
      </c>
      <c r="D218" s="1">
        <v>1.51721594292E-3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4.9060352276099999E-2</v>
      </c>
      <c r="B219" s="1">
        <v>2.0081667270900001E-4</v>
      </c>
      <c r="C219" s="1">
        <v>1.34281630047E-5</v>
      </c>
      <c r="D219" s="1">
        <v>1.5283881023500001E-3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4.9550955798900002E-2</v>
      </c>
      <c r="B220" s="1">
        <v>1.3777904201400001E-4</v>
      </c>
      <c r="C220" s="1">
        <v>1.10197300548E-5</v>
      </c>
      <c r="D220" s="1">
        <v>1.5396719833700001E-3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5.0046465356900001E-2</v>
      </c>
      <c r="B221" s="1">
        <v>1.00283310468E-4</v>
      </c>
      <c r="C221" s="1">
        <v>9.2056063812300005E-6</v>
      </c>
      <c r="D221" s="1">
        <v>1.5510687032100001E-3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5.0546930010399997E-2</v>
      </c>
      <c r="B222" s="1">
        <v>9.1227646621899999E-5</v>
      </c>
      <c r="C222" s="1">
        <v>8.6805656591499998E-6</v>
      </c>
      <c r="D222" s="1">
        <v>1.56257939024E-3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5.1052399310499999E-2</v>
      </c>
      <c r="B223" s="1">
        <v>8.6656336631799996E-5</v>
      </c>
      <c r="C223" s="1">
        <v>8.5835788804699999E-6</v>
      </c>
      <c r="D223" s="1">
        <v>1.5742051841400001E-3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5.1562923303600003E-2</v>
      </c>
      <c r="B224" s="1">
        <v>1.0978701208E-4</v>
      </c>
      <c r="C224" s="1">
        <v>1.00940824268E-5</v>
      </c>
      <c r="D224" s="1">
        <v>1.58594723598E-3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5.2078552536699997E-2</v>
      </c>
      <c r="B225" s="1">
        <v>1.36104044172E-4</v>
      </c>
      <c r="C225" s="1">
        <v>1.04423461137E-5</v>
      </c>
      <c r="D225" s="1">
        <v>1.5978067083399999E-3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5.2599338062100001E-2</v>
      </c>
      <c r="B226" s="1">
        <v>1.40433978438E-4</v>
      </c>
      <c r="C226" s="1">
        <v>1.10429627895E-5</v>
      </c>
      <c r="D226" s="1">
        <v>1.6097847754299999E-3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5.31253314427E-2</v>
      </c>
      <c r="B227" s="1">
        <v>1.4941104038499999E-4</v>
      </c>
      <c r="C227" s="1">
        <v>1.1530746706800001E-5</v>
      </c>
      <c r="D227" s="1">
        <v>1.6218826231800001E-3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5.3656584757100001E-2</v>
      </c>
      <c r="B228" s="1">
        <v>1.7929328392700001E-4</v>
      </c>
      <c r="C228" s="1">
        <v>1.2472526655699999E-5</v>
      </c>
      <c r="D228" s="1">
        <v>1.6341014494100001E-3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5.4193150604700001E-2</v>
      </c>
      <c r="B229" s="1">
        <v>1.3828892411299999E-4</v>
      </c>
      <c r="C229" s="1">
        <v>1.0740440601499999E-5</v>
      </c>
      <c r="D229" s="1">
        <v>1.64644246391E-3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5.4735082110700002E-2</v>
      </c>
      <c r="B230" s="1">
        <v>1.11213372518E-4</v>
      </c>
      <c r="C230" s="1">
        <v>9.6826280893800001E-6</v>
      </c>
      <c r="D230" s="1">
        <v>1.65890688855E-3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5.5282432931799998E-2</v>
      </c>
      <c r="B231" s="1">
        <v>8.99714367973E-5</v>
      </c>
      <c r="C231" s="1">
        <v>9.01725408974E-6</v>
      </c>
      <c r="D231" s="1">
        <v>1.6714959574299999E-3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5.5835257261100002E-2</v>
      </c>
      <c r="B232" s="1">
        <v>7.4532926193099995E-5</v>
      </c>
      <c r="C232" s="1">
        <v>8.2908475349200008E-6</v>
      </c>
      <c r="D232" s="1">
        <v>1.6842109170100001E-3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5.6393609833799999E-2</v>
      </c>
      <c r="B233" s="1">
        <v>6.78584904506E-5</v>
      </c>
      <c r="C233" s="1">
        <v>7.2380930441500002E-6</v>
      </c>
      <c r="D233" s="1">
        <v>1.69705302618E-3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5.69575459321E-2</v>
      </c>
      <c r="B234" s="1">
        <v>7.7713727250000001E-5</v>
      </c>
      <c r="C234" s="1">
        <v>8.0327784228699997E-6</v>
      </c>
      <c r="D234" s="1">
        <v>1.7100235564399999E-3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5.7527121391400003E-2</v>
      </c>
      <c r="B235" s="1">
        <v>9.2097578642900003E-5</v>
      </c>
      <c r="C235" s="1">
        <v>8.6944450981799996E-6</v>
      </c>
      <c r="D235" s="1">
        <v>1.7231237920000001E-3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5.81023926053E-2</v>
      </c>
      <c r="B236" s="1">
        <v>9.0821030474600006E-5</v>
      </c>
      <c r="C236" s="1">
        <v>8.7263502495999994E-6</v>
      </c>
      <c r="D236" s="1">
        <v>1.73635502992E-3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5.8683416531400003E-2</v>
      </c>
      <c r="B237" s="1">
        <v>9.2463673981599994E-5</v>
      </c>
      <c r="C237" s="1">
        <v>8.9053840393000001E-6</v>
      </c>
      <c r="D237" s="1">
        <v>1.74971858022E-3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5.92702506967E-2</v>
      </c>
      <c r="B238" s="1">
        <v>1.12730340356E-4</v>
      </c>
      <c r="C238" s="1">
        <v>9.63035787799E-6</v>
      </c>
      <c r="D238" s="1">
        <v>1.7632157660200001E-3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5.9862953203699998E-2</v>
      </c>
      <c r="B239" s="1">
        <v>1.0691811558299999E-4</v>
      </c>
      <c r="C239" s="1">
        <v>9.2427956921099998E-6</v>
      </c>
      <c r="D239" s="1">
        <v>1.7768479236799999E-3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6.0461582735700001E-2</v>
      </c>
      <c r="B240" s="1">
        <v>8.1927327721800005E-5</v>
      </c>
      <c r="C240" s="1">
        <v>8.7050229733300005E-6</v>
      </c>
      <c r="D240" s="1">
        <v>1.79061640292E-3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6.1066198563099999E-2</v>
      </c>
      <c r="B241" s="1">
        <v>7.6595183969900004E-5</v>
      </c>
      <c r="C241" s="1">
        <v>8.1667134483900008E-6</v>
      </c>
      <c r="D241" s="1">
        <v>1.80452256695E-3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6.1676860548700002E-2</v>
      </c>
      <c r="B242" s="1">
        <v>4.2886394585799997E-5</v>
      </c>
      <c r="C242" s="1">
        <v>6.37283918447E-6</v>
      </c>
      <c r="D242" s="1">
        <v>1.8185677926199999E-3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6.2293629154200003E-2</v>
      </c>
      <c r="B243" s="1">
        <v>4.7728071404399999E-5</v>
      </c>
      <c r="C243" s="1">
        <v>6.1727246046799998E-6</v>
      </c>
      <c r="D243" s="1">
        <v>1.8327534705499999E-3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6.2916565445699998E-2</v>
      </c>
      <c r="B244" s="1">
        <v>5.2096104722499997E-5</v>
      </c>
      <c r="C244" s="1">
        <v>6.7984725880199996E-6</v>
      </c>
      <c r="D244" s="1">
        <v>1.8470810052500001E-3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6.3545731100199995E-2</v>
      </c>
      <c r="B245" s="1">
        <v>7.1465776139899997E-5</v>
      </c>
      <c r="C245" s="1">
        <v>8.0880145611399994E-6</v>
      </c>
      <c r="D245" s="1">
        <v>1.8615518153E-3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6.4181188411200005E-2</v>
      </c>
      <c r="B246" s="1">
        <v>6.6895862035599996E-5</v>
      </c>
      <c r="C246" s="1">
        <v>7.7996017276699995E-6</v>
      </c>
      <c r="D246" s="1">
        <v>1.87616733346E-3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6.4823000295299998E-2</v>
      </c>
      <c r="B247" s="1">
        <v>7.4840705602100005E-5</v>
      </c>
      <c r="C247" s="1">
        <v>8.0931733828600003E-6</v>
      </c>
      <c r="D247" s="1">
        <v>1.8909290067899999E-3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6.5471230298199998E-2</v>
      </c>
      <c r="B248" s="1">
        <v>7.3979886143399996E-5</v>
      </c>
      <c r="C248" s="1">
        <v>8.0391761917799994E-6</v>
      </c>
      <c r="D248" s="1">
        <v>1.9058382968600001E-3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6.61259426012E-2</v>
      </c>
      <c r="B249" s="1">
        <v>5.7749769002399999E-5</v>
      </c>
      <c r="C249" s="1">
        <v>7.0607738111899999E-6</v>
      </c>
      <c r="D249" s="1">
        <v>1.9208966798300001E-3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6.6787202027199996E-2</v>
      </c>
      <c r="B250" s="1">
        <v>5.04720358464E-5</v>
      </c>
      <c r="C250" s="1">
        <v>6.6257631647600003E-6</v>
      </c>
      <c r="D250" s="1">
        <v>1.93610564663E-3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6.7455074047499994E-2</v>
      </c>
      <c r="B251" s="1">
        <v>4.6047219114199998E-5</v>
      </c>
      <c r="C251" s="1">
        <v>6.2614451132499996E-6</v>
      </c>
      <c r="D251" s="1">
        <v>1.9514667030900001E-3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6.8129624787999998E-2</v>
      </c>
      <c r="B252" s="1">
        <v>4.9948263645099997E-5</v>
      </c>
      <c r="C252" s="1">
        <v>6.5532805666399999E-6</v>
      </c>
      <c r="D252" s="1">
        <v>1.9669813701200002E-3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6.8810921035900002E-2</v>
      </c>
      <c r="B253" s="1">
        <v>3.6731386524200001E-5</v>
      </c>
      <c r="C253" s="1">
        <v>6.0198809848200001E-6</v>
      </c>
      <c r="D253" s="1">
        <v>1.9826511838199998E-3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6.9499030246199994E-2</v>
      </c>
      <c r="B254" s="1">
        <v>5.1165472369499997E-5</v>
      </c>
      <c r="C254" s="1">
        <v>6.8057678405299999E-6</v>
      </c>
      <c r="D254" s="1">
        <v>1.9984776956599999E-3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7.0194020548699998E-2</v>
      </c>
      <c r="B255" s="1">
        <v>6.0762314011399997E-5</v>
      </c>
      <c r="C255" s="1">
        <v>6.7732982802000003E-6</v>
      </c>
      <c r="D255" s="1">
        <v>2.0144624726199998E-3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7.0895960754200002E-2</v>
      </c>
      <c r="B256" s="1">
        <v>5.0149431270200003E-5</v>
      </c>
      <c r="C256" s="1">
        <v>6.5628019601699999E-6</v>
      </c>
      <c r="D256" s="1">
        <v>2.0306070973499998E-3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7.1604920361700006E-2</v>
      </c>
      <c r="B257" s="1">
        <v>5.3388768138500002E-5</v>
      </c>
      <c r="C257" s="1">
        <v>6.6211993664899999E-6</v>
      </c>
      <c r="D257" s="1">
        <v>2.0469131683199999E-3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7.23209695653E-2</v>
      </c>
      <c r="B258" s="1">
        <v>2.96599556749E-5</v>
      </c>
      <c r="C258" s="1">
        <v>5.12409000383E-6</v>
      </c>
      <c r="D258" s="1">
        <v>2.0633823E-3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7.3044179261E-2</v>
      </c>
      <c r="B259" s="1">
        <v>2.9123127124300001E-5</v>
      </c>
      <c r="C259" s="1">
        <v>4.8297826474900003E-6</v>
      </c>
      <c r="D259" s="1">
        <v>2.080016123E-3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7.3774621053599998E-2</v>
      </c>
      <c r="B260" s="1">
        <v>3.5144154955699999E-5</v>
      </c>
      <c r="C260" s="1">
        <v>5.3162954642299998E-6</v>
      </c>
      <c r="D260" s="1">
        <v>2.0968162842299998E-3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7.4512367264100002E-2</v>
      </c>
      <c r="B261" s="1">
        <v>3.7484959024400003E-5</v>
      </c>
      <c r="C261" s="1">
        <v>5.46303406329E-6</v>
      </c>
      <c r="D261" s="1">
        <v>2.11378444707E-3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7.5257490936799995E-2</v>
      </c>
      <c r="B262" s="1">
        <v>3.11215581906E-5</v>
      </c>
      <c r="C262" s="1">
        <v>4.9697802445499998E-6</v>
      </c>
      <c r="D262" s="1">
        <v>2.1309222915499998E-3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7.6010065846099997E-2</v>
      </c>
      <c r="B263" s="1">
        <v>3.8238685959900002E-5</v>
      </c>
      <c r="C263" s="1">
        <v>5.3712615229899999E-6</v>
      </c>
      <c r="D263" s="1">
        <v>2.1482315144599998E-3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7.6770166504600001E-2</v>
      </c>
      <c r="B264" s="1">
        <v>4.54966788754E-5</v>
      </c>
      <c r="C264" s="1">
        <v>5.8101353438000002E-6</v>
      </c>
      <c r="D264" s="1">
        <v>2.1657138296100002E-3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7.7537868169599997E-2</v>
      </c>
      <c r="B265" s="1">
        <v>3.01199293959E-5</v>
      </c>
      <c r="C265" s="1">
        <v>5.0133317157199999E-6</v>
      </c>
      <c r="D265" s="1">
        <v>2.1833709679000002E-3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7.8313246851300006E-2</v>
      </c>
      <c r="B266" s="1">
        <v>3.4204316004799998E-5</v>
      </c>
      <c r="C266" s="1">
        <v>5.1397268035699998E-6</v>
      </c>
      <c r="D266" s="1">
        <v>2.2012046775799999E-3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7.90963793198E-2</v>
      </c>
      <c r="B267" s="1">
        <v>2.3307506551500001E-5</v>
      </c>
      <c r="C267" s="1">
        <v>4.2610454229899996E-6</v>
      </c>
      <c r="D267" s="1">
        <v>2.2192167243599999E-3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7.9887343112999998E-2</v>
      </c>
      <c r="B268" s="1">
        <v>2.5657988177199998E-5</v>
      </c>
      <c r="C268" s="1">
        <v>4.3150206063799999E-6</v>
      </c>
      <c r="D268" s="1">
        <v>2.2374088916000002E-3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8.0686216544199996E-2</v>
      </c>
      <c r="B269" s="1">
        <v>2.72570962359E-5</v>
      </c>
      <c r="C269" s="1">
        <v>4.4963550498599999E-6</v>
      </c>
      <c r="D269" s="1">
        <v>2.2557829805199998E-3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8.14930787096E-2</v>
      </c>
      <c r="B270" s="1">
        <v>3.0786874871900002E-5</v>
      </c>
      <c r="C270" s="1">
        <v>4.9094750512699998E-6</v>
      </c>
      <c r="D270" s="1">
        <v>2.27434081032E-3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8.2308009496700002E-2</v>
      </c>
      <c r="B271" s="1">
        <v>3.2685654649800003E-5</v>
      </c>
      <c r="C271" s="1">
        <v>4.9087434376400003E-6</v>
      </c>
      <c r="D271" s="1">
        <v>2.2930842184199999E-3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8.31310895917E-2</v>
      </c>
      <c r="B272" s="1">
        <v>2.2246656583400002E-5</v>
      </c>
      <c r="C272" s="1">
        <v>4.2880280749799996E-6</v>
      </c>
      <c r="D272" s="1">
        <v>2.3120150606099998E-3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8.3962400487599995E-2</v>
      </c>
      <c r="B273" s="1">
        <v>2.17019972088E-5</v>
      </c>
      <c r="C273" s="1">
        <v>4.1793401548100004E-6</v>
      </c>
      <c r="D273" s="1">
        <v>2.3311352112099998E-3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8.4802024492500003E-2</v>
      </c>
      <c r="B274" s="1">
        <v>1.7131978606899999E-5</v>
      </c>
      <c r="C274" s="1">
        <v>3.9700376227100004E-6</v>
      </c>
      <c r="D274" s="1">
        <v>2.3504465633299998E-3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8.5650044737399997E-2</v>
      </c>
      <c r="B275" s="1">
        <v>2.21349900559E-5</v>
      </c>
      <c r="C275" s="1">
        <v>4.4154734250799997E-6</v>
      </c>
      <c r="D275" s="1">
        <v>2.3699510289600001E-3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8.6506545184799999E-2</v>
      </c>
      <c r="B276" s="1">
        <v>2.2062462139100002E-5</v>
      </c>
      <c r="C276" s="1">
        <v>4.1567216473000002E-6</v>
      </c>
      <c r="D276" s="1">
        <v>2.3896505392499998E-3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8.7371610636599997E-2</v>
      </c>
      <c r="B277" s="1">
        <v>2.2223095327299999E-5</v>
      </c>
      <c r="C277" s="1">
        <v>2.30015442969E-6</v>
      </c>
      <c r="D277" s="1">
        <v>2.4095470446400002E-3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8.8245326742999994E-2</v>
      </c>
      <c r="B278" s="1">
        <v>3.0558763424899999E-5</v>
      </c>
      <c r="C278" s="1">
        <v>2.6125653293299999E-6</v>
      </c>
      <c r="D278" s="1">
        <v>2.4296425150899998E-3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8.9127780010400004E-2</v>
      </c>
      <c r="B279" s="1">
        <v>2.1151728451999999E-5</v>
      </c>
      <c r="C279" s="1">
        <v>2.1400626981400002E-6</v>
      </c>
      <c r="D279" s="1">
        <v>2.44993894024E-3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9.00190578105E-2</v>
      </c>
      <c r="B280" s="1">
        <v>1.9643635057899999E-5</v>
      </c>
      <c r="C280" s="1">
        <v>1.9856357942699999E-6</v>
      </c>
      <c r="D280" s="1">
        <v>2.4704383296399999E-3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9.0919248388599994E-2</v>
      </c>
      <c r="B281" s="1">
        <v>1.36406318741E-5</v>
      </c>
      <c r="C281" s="1">
        <v>1.73669067103E-6</v>
      </c>
      <c r="D281" s="1">
        <v>2.49114271294E-3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9.18284408725E-2</v>
      </c>
      <c r="B282" s="1">
        <v>1.8477906094699999E-5</v>
      </c>
      <c r="C282" s="1">
        <v>1.92237332367E-6</v>
      </c>
      <c r="D282" s="1">
        <v>2.51205414007E-3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9.2746725281199996E-2</v>
      </c>
      <c r="B283" s="1">
        <v>1.8604977183299999E-5</v>
      </c>
      <c r="C283" s="1">
        <v>1.9730884289099999E-6</v>
      </c>
      <c r="D283" s="1">
        <v>2.5331746814699998E-3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9.3674192534E-2</v>
      </c>
      <c r="B284" s="1">
        <v>1.9974038875800002E-5</v>
      </c>
      <c r="C284" s="1">
        <v>1.9996656894400002E-6</v>
      </c>
      <c r="D284" s="1">
        <v>2.5545064282799998E-3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9.4610934459399998E-2</v>
      </c>
      <c r="B285" s="1">
        <v>2.2237060378199999E-5</v>
      </c>
      <c r="C285" s="1">
        <v>2.0266632226500002E-6</v>
      </c>
      <c r="D285" s="1">
        <v>2.5760514925700002E-3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9.5557043804E-2</v>
      </c>
      <c r="B286" s="1">
        <v>1.8437323871999999E-5</v>
      </c>
      <c r="C286" s="1">
        <v>1.8490199472799999E-6</v>
      </c>
      <c r="D286" s="1">
        <v>2.5978120074900001E-3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9.6512614242E-2</v>
      </c>
      <c r="B287" s="1">
        <v>1.3421896257899999E-5</v>
      </c>
      <c r="C287" s="1">
        <v>1.6254639349799999E-6</v>
      </c>
      <c r="D287" s="1">
        <v>2.61979012757E-3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9.7477740384400005E-2</v>
      </c>
      <c r="B288" s="1">
        <v>1.55742786424E-5</v>
      </c>
      <c r="C288" s="1">
        <v>1.69928786838E-6</v>
      </c>
      <c r="D288" s="1">
        <v>2.6419880288399999E-3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9.8452517788299998E-2</v>
      </c>
      <c r="B289" s="1">
        <v>1.9017332389300001E-5</v>
      </c>
      <c r="C289" s="1">
        <v>1.7948008447200001E-6</v>
      </c>
      <c r="D289" s="1">
        <v>2.6644079091300002E-3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9.9437042966199998E-2</v>
      </c>
      <c r="B290" s="1">
        <v>1.6306024153200002E-5</v>
      </c>
      <c r="C290" s="1">
        <v>1.6421023381700001E-6</v>
      </c>
      <c r="D290" s="1">
        <v>2.68705198822E-3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0.10043141339599999</v>
      </c>
      <c r="B291" s="1">
        <v>1.5901972964499999E-5</v>
      </c>
      <c r="C291" s="1">
        <v>1.78546199381E-6</v>
      </c>
      <c r="D291" s="1">
        <v>2.7099225081E-3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0.10143572753000001</v>
      </c>
      <c r="B292" s="1">
        <v>1.5277842961700002E-5</v>
      </c>
      <c r="C292" s="1">
        <v>1.74001833831E-6</v>
      </c>
      <c r="D292" s="1">
        <v>2.73302173319E-3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0.10245008480499999</v>
      </c>
      <c r="B293" s="1">
        <v>1.33448233696E-5</v>
      </c>
      <c r="C293" s="1">
        <v>1.6824356212900001E-6</v>
      </c>
      <c r="D293" s="1">
        <v>2.7563519505200001E-3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0.103474585653</v>
      </c>
      <c r="B294" s="1">
        <v>1.35780905451E-5</v>
      </c>
      <c r="C294" s="1">
        <v>1.6231722651500001E-6</v>
      </c>
      <c r="D294" s="1">
        <v>2.7799154700199999E-3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0.10450933151</v>
      </c>
      <c r="B295" s="1">
        <v>1.5998075201600001E-5</v>
      </c>
      <c r="C295" s="1">
        <v>1.73331882721E-6</v>
      </c>
      <c r="D295" s="1">
        <v>2.8037146247199998E-3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0.10555442482500001</v>
      </c>
      <c r="B296" s="1">
        <v>1.6835297593799999E-5</v>
      </c>
      <c r="C296" s="1">
        <v>1.8106989530100001E-6</v>
      </c>
      <c r="D296" s="1">
        <v>2.82775177097E-3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0.10660996907299999</v>
      </c>
      <c r="B297" s="1">
        <v>9.4881471894099993E-6</v>
      </c>
      <c r="C297" s="1">
        <v>1.4006803108300001E-6</v>
      </c>
      <c r="D297" s="1">
        <v>2.8520292886799999E-3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0.107676068764</v>
      </c>
      <c r="B298" s="1">
        <v>1.2398173898699999E-5</v>
      </c>
      <c r="C298" s="1">
        <v>1.49428361691E-6</v>
      </c>
      <c r="D298" s="1">
        <v>2.87654958157E-3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0.108752829451</v>
      </c>
      <c r="B299" s="1">
        <v>1.0890304280499999E-5</v>
      </c>
      <c r="C299" s="1">
        <v>1.4982884840999999E-6</v>
      </c>
      <c r="D299" s="1">
        <v>2.9013150773800002E-3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0.109840357746</v>
      </c>
      <c r="B300" s="1">
        <v>1.34642753453E-5</v>
      </c>
      <c r="C300" s="1">
        <v>1.63434672919E-6</v>
      </c>
      <c r="D300" s="1">
        <v>2.9263282281600002E-3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0.110938761323</v>
      </c>
      <c r="B301" s="1">
        <v>1.0776223774900001E-5</v>
      </c>
      <c r="C301" s="1">
        <v>1.42861035582E-6</v>
      </c>
      <c r="D301" s="1">
        <v>2.9515915104400001E-3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0.11204814893700001</v>
      </c>
      <c r="B302" s="1">
        <v>1.06883234389E-5</v>
      </c>
      <c r="C302" s="1">
        <v>1.41139784281E-6</v>
      </c>
      <c r="D302" s="1">
        <v>2.97710742554E-3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0.11316863042600001</v>
      </c>
      <c r="B303" s="1">
        <v>8.3400470670499999E-6</v>
      </c>
      <c r="C303" s="1">
        <v>1.2972143227700001E-6</v>
      </c>
      <c r="D303" s="1">
        <v>3.0028784998000001E-3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0.11430031673</v>
      </c>
      <c r="B304" s="1">
        <v>1.18050547243E-5</v>
      </c>
      <c r="C304" s="1">
        <v>1.48877292396E-6</v>
      </c>
      <c r="D304" s="1">
        <v>3.0289072847900001E-3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0.115443319898</v>
      </c>
      <c r="B305" s="1">
        <v>1.0397859121799999E-5</v>
      </c>
      <c r="C305" s="1">
        <v>1.38514895931E-6</v>
      </c>
      <c r="D305" s="1">
        <v>3.0551963576400001E-3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0.116597753096</v>
      </c>
      <c r="B306" s="1">
        <v>8.2791366075300008E-6</v>
      </c>
      <c r="C306" s="1">
        <v>1.3080491239699999E-6</v>
      </c>
      <c r="D306" s="1">
        <v>3.0817483212199999E-3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0.117763730627</v>
      </c>
      <c r="B307" s="1">
        <v>9.1026863450799997E-6</v>
      </c>
      <c r="C307" s="1">
        <v>1.3150134210199999E-6</v>
      </c>
      <c r="D307" s="1">
        <v>3.1085658044299998E-3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0.11894136793399999</v>
      </c>
      <c r="B308" s="1">
        <v>9.3366146491999995E-6</v>
      </c>
      <c r="C308" s="1">
        <v>1.38363276206E-6</v>
      </c>
      <c r="D308" s="1">
        <v>3.1356514624800002E-3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0.120130781613</v>
      </c>
      <c r="B309" s="1">
        <v>7.7965716040799997E-6</v>
      </c>
      <c r="C309" s="1">
        <v>1.32183996199E-6</v>
      </c>
      <c r="D309" s="1">
        <v>3.1630079771000001E-3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0.12133208942900001</v>
      </c>
      <c r="B310" s="1">
        <v>7.4636978806399996E-6</v>
      </c>
      <c r="C310" s="1">
        <v>1.21537340843E-6</v>
      </c>
      <c r="D310" s="1">
        <v>3.19063805687E-3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0.122545410323</v>
      </c>
      <c r="B311" s="1">
        <v>7.7164733804699992E-6</v>
      </c>
      <c r="C311" s="1">
        <v>1.19499210598E-6</v>
      </c>
      <c r="D311" s="1">
        <v>3.2185444374399999E-3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0.123770864427</v>
      </c>
      <c r="B312" s="1">
        <v>6.1639006892800001E-6</v>
      </c>
      <c r="C312" s="1">
        <v>1.1692771043299999E-6</v>
      </c>
      <c r="D312" s="1">
        <v>3.2467298818099999E-3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0.125008573071</v>
      </c>
      <c r="B313" s="1">
        <v>6.2081143474899996E-6</v>
      </c>
      <c r="C313" s="1">
        <v>1.12280385357E-6</v>
      </c>
      <c r="D313" s="1">
        <v>3.2751971806300002E-3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0.12625865880199999</v>
      </c>
      <c r="B314" s="1">
        <v>7.7134710416399997E-6</v>
      </c>
      <c r="C314" s="1">
        <v>1.31251874553E-6</v>
      </c>
      <c r="D314" s="1">
        <v>3.3039491524399999E-3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0.12752124539000001</v>
      </c>
      <c r="B315" s="1">
        <v>5.5371394350400002E-6</v>
      </c>
      <c r="C315" s="1">
        <v>1.0665674445600001E-6</v>
      </c>
      <c r="D315" s="1">
        <v>3.3329886439600002E-3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0.12879645784400001</v>
      </c>
      <c r="B316" s="1">
        <v>4.7020671629799997E-6</v>
      </c>
      <c r="C316" s="1">
        <v>1.0654265433900001E-6</v>
      </c>
      <c r="D316" s="1">
        <v>3.3623185304E-3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0.130084422422</v>
      </c>
      <c r="B317" s="1">
        <v>7.1413229837700001E-6</v>
      </c>
      <c r="C317" s="1">
        <v>1.22193666387E-6</v>
      </c>
      <c r="D317" s="1">
        <v>3.3919417157099998E-3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0.131385266646</v>
      </c>
      <c r="B318" s="1">
        <v>5.8961953466699999E-6</v>
      </c>
      <c r="C318" s="1">
        <v>1.1117984089699999E-6</v>
      </c>
      <c r="D318" s="1">
        <v>3.4218611328599999E-3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0.13269911931299999</v>
      </c>
      <c r="B319" s="1">
        <v>5.8383797127999997E-6</v>
      </c>
      <c r="C319" s="1">
        <v>1.08141825694E-6</v>
      </c>
      <c r="D319" s="1">
        <v>3.4520797441899998E-3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0.134026110506</v>
      </c>
      <c r="B320" s="1">
        <v>6.32854452678E-6</v>
      </c>
      <c r="C320" s="1">
        <v>1.12207344193E-6</v>
      </c>
      <c r="D320" s="1">
        <v>3.4826005416300002E-3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0.13536637161100001</v>
      </c>
      <c r="B321" s="1">
        <v>6.2656847197400003E-6</v>
      </c>
      <c r="C321" s="1">
        <v>1.12586468804E-6</v>
      </c>
      <c r="D321" s="1">
        <v>3.51342654705E-3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0.136720035327</v>
      </c>
      <c r="B322" s="1">
        <v>5.0394009184899998E-6</v>
      </c>
      <c r="C322" s="1">
        <v>1.01121794361E-6</v>
      </c>
      <c r="D322" s="1">
        <v>3.5445608125200001E-3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0.13808723568</v>
      </c>
      <c r="B323" s="1">
        <v>4.4926258906600001E-6</v>
      </c>
      <c r="C323" s="1">
        <v>9.9009641404300002E-7</v>
      </c>
      <c r="D323" s="1">
        <v>3.5760064206500001E-3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0.13946810803699999</v>
      </c>
      <c r="B324" s="1">
        <v>4.3434112825500004E-6</v>
      </c>
      <c r="C324" s="1">
        <v>9.8537097046900009E-7</v>
      </c>
      <c r="D324" s="1">
        <v>3.6077664848500001E-3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0.14086278911700001</v>
      </c>
      <c r="B325" s="1">
        <v>5.26004103949E-6</v>
      </c>
      <c r="C325" s="1">
        <v>1.0217078245999999E-6</v>
      </c>
      <c r="D325" s="1">
        <v>3.6398441496999999E-3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0.14227141700900001</v>
      </c>
      <c r="B326" s="1">
        <v>2.63931243336E-6</v>
      </c>
      <c r="C326" s="1">
        <v>8.1191859161200005E-7</v>
      </c>
      <c r="D326" s="1">
        <v>3.6722425912E-3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0.14369413117900001</v>
      </c>
      <c r="B327" s="1">
        <v>3.9167241436300004E-6</v>
      </c>
      <c r="C327" s="1">
        <v>8.73781463663E-7</v>
      </c>
      <c r="D327" s="1">
        <v>3.7049650171100002E-3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0.14513107249099999</v>
      </c>
      <c r="B328" s="1">
        <v>5.0694255437500004E-6</v>
      </c>
      <c r="C328" s="1">
        <v>9.8520138928399995E-7</v>
      </c>
      <c r="D328" s="1">
        <v>3.7380146672799999E-3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0.146582383215</v>
      </c>
      <c r="B329" s="1">
        <v>5.1916001304599997E-6</v>
      </c>
      <c r="C329" s="1">
        <v>1.0062452825000001E-6</v>
      </c>
      <c r="D329" s="1">
        <v>3.7713948139499998E-3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0.14804820704800001</v>
      </c>
      <c r="B330" s="1">
        <v>4.1427044529100003E-6</v>
      </c>
      <c r="C330" s="1">
        <v>8.9710009821599996E-7</v>
      </c>
      <c r="D330" s="1">
        <v>3.8051087620899998E-3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0.14952868911799999</v>
      </c>
      <c r="B331" s="1">
        <v>3.48593468239E-6</v>
      </c>
      <c r="C331" s="1">
        <v>8.1742494437799995E-7</v>
      </c>
      <c r="D331" s="1">
        <v>3.8391598497200001E-3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0.151023976009</v>
      </c>
      <c r="B332" s="1">
        <v>2.66475484346E-6</v>
      </c>
      <c r="C332" s="1">
        <v>7.4900542975600004E-7</v>
      </c>
      <c r="D332" s="1">
        <v>3.8735514482100002E-3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0.152534215769</v>
      </c>
      <c r="B333" s="1">
        <v>5.3129608230099997E-6</v>
      </c>
      <c r="C333" s="1">
        <v>9.3613827823999997E-7</v>
      </c>
      <c r="D333" s="1">
        <v>3.9082869626900002E-3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0.15405955792699999</v>
      </c>
      <c r="B334" s="1">
        <v>2.6861690667900001E-6</v>
      </c>
      <c r="C334" s="1">
        <v>7.8923081323299999E-7</v>
      </c>
      <c r="D334" s="1">
        <v>3.9433698323199998E-3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0.15560015350600001</v>
      </c>
      <c r="B335" s="1">
        <v>2.7921365229100002E-6</v>
      </c>
      <c r="C335" s="1">
        <v>8.1270785578599997E-7</v>
      </c>
      <c r="D335" s="1">
        <v>3.9788035306400002E-3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0.157156155041</v>
      </c>
      <c r="B336" s="1">
        <v>2.05383133482E-6</v>
      </c>
      <c r="C336" s="1">
        <v>7.1216788742400004E-7</v>
      </c>
      <c r="D336" s="1">
        <v>4.0145915659500001E-3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0.158727716592</v>
      </c>
      <c r="B337" s="1">
        <v>3.3411166154699998E-6</v>
      </c>
      <c r="C337" s="1">
        <v>7.8651102422700004E-7</v>
      </c>
      <c r="D337" s="1">
        <v>4.0507374816099997E-3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0.16031499375800001</v>
      </c>
      <c r="B338" s="1">
        <v>2.9675200909400001E-6</v>
      </c>
      <c r="C338" s="1">
        <v>7.8301666571199997E-7</v>
      </c>
      <c r="D338" s="1">
        <v>4.0872448564300001E-3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0.16191814369499999</v>
      </c>
      <c r="B339" s="1">
        <v>2.25889163841E-6</v>
      </c>
      <c r="C339" s="1">
        <v>7.1184462172800002E-7</v>
      </c>
      <c r="D339" s="1">
        <v>4.1241173049900003E-3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0.16353732513200001</v>
      </c>
      <c r="B340" s="1">
        <v>2.9344287090000001E-6</v>
      </c>
      <c r="C340" s="1">
        <v>7.3791336949000005E-7</v>
      </c>
      <c r="D340" s="1">
        <v>4.1613584780400004E-3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0.16517269838400001</v>
      </c>
      <c r="B341" s="1">
        <v>1.6488986641000001E-6</v>
      </c>
      <c r="C341" s="1">
        <v>6.7708712210900004E-7</v>
      </c>
      <c r="D341" s="1">
        <v>4.1989720628199997E-3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0.16682442536700001</v>
      </c>
      <c r="B342" s="1">
        <v>1.8211011245E-6</v>
      </c>
      <c r="C342" s="1">
        <v>6.3376723552500004E-7</v>
      </c>
      <c r="D342" s="1">
        <v>4.2369617834500002E-3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0.16849266962100001</v>
      </c>
      <c r="B343" s="1">
        <v>2.47435769209E-6</v>
      </c>
      <c r="C343" s="1">
        <v>7.3395787643399995E-7</v>
      </c>
      <c r="D343" s="1">
        <v>4.27533140128E-3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0.170177596317</v>
      </c>
      <c r="B344" s="1">
        <v>1.52342248586E-6</v>
      </c>
      <c r="C344" s="1">
        <v>6.9452231090099997E-7</v>
      </c>
      <c r="D344" s="1">
        <v>4.3140847152999999E-3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0.17187937228</v>
      </c>
      <c r="B345" s="1">
        <v>1.70444163159E-6</v>
      </c>
      <c r="C345" s="1">
        <v>6.2029229623700005E-7</v>
      </c>
      <c r="D345" s="1">
        <v>4.3532255624500003E-3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0.17359816600299999</v>
      </c>
      <c r="B346" s="1">
        <v>5.9281748177199997E-7</v>
      </c>
      <c r="C346" s="1">
        <v>5.6565883324900005E-7</v>
      </c>
      <c r="D346" s="1">
        <v>4.3927578180700004E-3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0.17533414766300001</v>
      </c>
      <c r="B347" s="1">
        <v>2.03921124829E-6</v>
      </c>
      <c r="C347" s="1">
        <v>6.7176571952999997E-7</v>
      </c>
      <c r="D347" s="1">
        <v>4.4326853962600001E-3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0.17708748914</v>
      </c>
      <c r="B348" s="1">
        <v>2.2707259396900001E-6</v>
      </c>
      <c r="C348" s="1">
        <v>7.4277460684499997E-7</v>
      </c>
      <c r="D348" s="1">
        <v>4.4730122502200003E-3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0.178858364031</v>
      </c>
      <c r="B349" s="1">
        <v>1.7677506595099999E-6</v>
      </c>
      <c r="C349" s="1">
        <v>6.0767061658700003E-7</v>
      </c>
      <c r="D349" s="1">
        <v>4.5137423727200001E-3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0.18064694767200001</v>
      </c>
      <c r="B350" s="1">
        <v>1.3796304720600001E-6</v>
      </c>
      <c r="C350" s="1">
        <v>6.1488510579299997E-7</v>
      </c>
      <c r="D350" s="1">
        <v>4.5548797964500001E-3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0.18245341714800001</v>
      </c>
      <c r="B351" s="1">
        <v>2.3713786483900001E-6</v>
      </c>
      <c r="C351" s="1">
        <v>7.2594833739599999E-7</v>
      </c>
      <c r="D351" s="1">
        <v>4.59642859441E-3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0.18427795131999999</v>
      </c>
      <c r="B352" s="1">
        <v>1.63123737161E-6</v>
      </c>
      <c r="C352" s="1">
        <v>6.2979651869500002E-7</v>
      </c>
      <c r="D352" s="1">
        <v>4.63839288036E-3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0.18612073083299999</v>
      </c>
      <c r="B353" s="1">
        <v>2.5721003815600001E-6</v>
      </c>
      <c r="C353" s="1">
        <v>7.1292956953700003E-7</v>
      </c>
      <c r="D353" s="1">
        <v>4.6807768091599996E-3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0.187981938141</v>
      </c>
      <c r="B354" s="1">
        <v>2.09046617775E-6</v>
      </c>
      <c r="C354" s="1">
        <v>6.7154600271199996E-7</v>
      </c>
      <c r="D354" s="1">
        <v>4.7235845772499998E-3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0.189861757523</v>
      </c>
      <c r="B355" s="1">
        <v>5.7573478141600002E-7</v>
      </c>
      <c r="C355" s="1">
        <v>5.5406744260699998E-7</v>
      </c>
      <c r="D355" s="1">
        <v>4.7668204230199998E-3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0.19176037509800001</v>
      </c>
      <c r="B356" s="1">
        <v>6.8039127347099995E-7</v>
      </c>
      <c r="C356" s="1">
        <v>5.2585621566599999E-7</v>
      </c>
      <c r="D356" s="1">
        <v>4.8104886272500001E-3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2021-07-02T18:08:49Z</dcterms:modified>
</cp:coreProperties>
</file>