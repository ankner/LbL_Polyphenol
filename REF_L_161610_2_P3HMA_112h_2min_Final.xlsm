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347BB716-ADC7-422A-8CA2-0C1458E27EBE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3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G27" i="1"/>
  <c r="F26" i="1"/>
  <c r="C26" i="1"/>
  <c r="F25" i="1"/>
  <c r="C25" i="1"/>
  <c r="X244" i="1"/>
  <c r="Y244" i="1" s="1"/>
  <c r="X245" i="1"/>
  <c r="Y245" i="1" s="1"/>
  <c r="X246" i="1"/>
  <c r="Y246" i="1" s="1"/>
  <c r="X247" i="1"/>
  <c r="Y247" i="1" s="1"/>
  <c r="X248" i="1"/>
  <c r="Y248" i="1" s="1"/>
  <c r="X249" i="1"/>
  <c r="Y249" i="1" s="1"/>
  <c r="X250" i="1"/>
  <c r="Y250" i="1" s="1"/>
  <c r="X251" i="1"/>
  <c r="Y251" i="1" s="1"/>
  <c r="X252" i="1"/>
  <c r="Y252" i="1" s="1"/>
  <c r="X253" i="1"/>
  <c r="Y253" i="1" s="1"/>
  <c r="X254" i="1"/>
  <c r="Y254" i="1" s="1"/>
  <c r="X255" i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Y279" i="1" s="1"/>
  <c r="X280" i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X320" i="1"/>
  <c r="Y320" i="1" s="1"/>
  <c r="X321" i="1"/>
  <c r="Y321" i="1" s="1"/>
  <c r="X322" i="1"/>
  <c r="Y322" i="1" s="1"/>
  <c r="F7" i="1" l="1"/>
  <c r="D19" i="69" l="1"/>
  <c r="B10" i="69"/>
  <c r="C10" i="69"/>
  <c r="C6" i="1"/>
  <c r="H6" i="1" l="1"/>
  <c r="H14" i="1"/>
  <c r="H16" i="1"/>
  <c r="B19" i="69" l="1"/>
  <c r="F5" i="1"/>
  <c r="G5" i="1" s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61610_offset_0.02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<sst xmlns="http://schemas.openxmlformats.org/spreadsheetml/2006/main" count="1169" uniqueCount="649">
  <si>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</si>
  <si>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</si>
  <si>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</si>
  <si>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</si>
  <si>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</si>
  <si>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</si>
  <si>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</si>
  <si>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</si>
  <si>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</si>
  <si>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</si>
  <si>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</si>
  <si>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</si>
  <si>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</si>
  <si>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</si>
  <si>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</si>
  <si>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</si>
  <si>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</si>
  <si>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</si>
  <si>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</si>
  <si>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</si>
  <si>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</si>
  <si>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</si>
  <si>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</si>
  <si>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</si>
  <si>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</si>
  <si>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</si>
  <si>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</si>
  <si>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</si>
  <si>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</si>
  <si>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</si>
  <si>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</si>
  <si>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</si>
  <si>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</si>
  <si>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</si>
  <si>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</si>
  <si>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</si>
  <si>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</si>
  <si>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</si>
  <si>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</si>
  <si>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</si>
  <si>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</si>
  <si>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</si>
  <si>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</si>
  <si>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</si>
  <si>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</si>
  <si>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</si>
  <si>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</si>
  <si>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</si>
  <si>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</si>
  <si>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</si>
  <si>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</si>
  <si>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</si>
  <si>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</si>
  <si>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</si>
  <si>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</si>
  <si>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</si>
  <si>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</si>
  <si>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</si>
  <si>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</si>
  <si>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</si>
  <si>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</si>
  <si>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</si>
  <si>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</si>
  <si>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</si>
  <si>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</si>
  <si>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</si>
  <si>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</si>
  <si>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</si>
  <si>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</si>
  <si>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</si>
  <si>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</si>
  <si>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</si>
  <si>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</si>
  <si>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</si>
  <si>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</si>
  <si>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</si>
  <si>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</si>
  <si>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</si>
  <si>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</si>
  <si>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</si>
  <si>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</si>
  <si>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</si>
  <si>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</si>
  <si>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</si>
  <si>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</si>
  <si>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</si>
  <si>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</si>
  <si>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</si>
  <si>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</si>
  <si>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</si>
  <si>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</si>
  <si>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</si>
  <si>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</si>
  <si>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</si>
  <si>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</si>
  <si>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</si>
  <si>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</si>
  <si>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</si>
  <si>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</si>
  <si>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</si>
  <si>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</si>
  <si>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</si>
  <si>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</si>
  <si>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</si>
  <si>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</si>
  <si>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</si>
  <si>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</si>
  <si>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</si>
  <si>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</si>
  <si>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</si>
  <si>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</si>
  <si>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</si>
  <si>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</si>
  <si>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</si>
  <si>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</si>
  <si>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</si>
  <si>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</si>
  <si>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</si>
  <si>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</si>
  <si>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</si>
  <si>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</si>
  <si>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</si>
  <si>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</si>
  <si>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</si>
  <si>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</si>
  <si>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</si>
  <si>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</si>
  <si>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</si>
  <si>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</si>
  <si>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</si>
  <si>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</si>
  <si>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</si>
  <si>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</si>
  <si>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</si>
  <si>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</si>
  <si>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</si>
  <si>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</si>
  <si>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</si>
  <si>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</si>
  <si>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</si>
  <si>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</si>
  <si>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</si>
  <si>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</si>
  <si>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</si>
  <si>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</si>
  <si>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</si>
  <si>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</si>
  <si>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</si>
  <si>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</si>
  <si>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</si>
  <si>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</si>
  <si>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</si>
  <si>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</si>
  <si>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</si>
  <si>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</si>
  <si>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</si>
  <si>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</si>
  <si>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</si>
  <si>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</si>
  <si>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</si>
  <si>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</si>
  <si>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</si>
  <si>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</si>
  <si>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</si>
  <si>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</si>
  <si>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</si>
  <si>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</si>
  <si>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</si>
  <si>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</si>
  <si>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</si>
  <si>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</si>
  <si>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</si>
  <si>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</si>
  <si>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</si>
  <si>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</si>
  <si>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</si>
  <si>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</si>
  <si>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</si>
  <si>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</si>
  <si>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</si>
  <si>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</si>
  <si>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</si>
  <si>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</si>
  <si>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</si>
  <si>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</si>
  <si>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</si>
  <si>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</si>
  <si>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</si>
  <si>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</si>
  <si>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</si>
  <si>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</si>
  <si>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</si>
  <si>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</si>
  <si>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</si>
  <si>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</si>
  <si>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</si>
  <si>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</si>
  <si>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</si>
  <si>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</si>
  <si>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</si>
  <si>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</si>
  <si>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</si>
  <si>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</si>
  <si>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</si>
  <si>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</si>
  <si>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</si>
  <si>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</si>
  <si>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</si>
  <si>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</si>
  <si>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</si>
  <si>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</si>
  <si>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</si>
  <si>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</si>
  <si>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</si>
  <si>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</si>
  <si>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</si>
  <si>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</si>
  <si>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</si>
  <si>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</si>
  <si>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</si>
  <si>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</si>
  <si>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</si>
  <si>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</si>
  <si>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</si>
  <si>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</si>
  <si>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</si>
  <si>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</si>
  <si>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</si>
  <si>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</si>
  <si>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</si>
  <si>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</si>
  <si>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</si>
  <si>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</si>
  <si>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</si>
  <si>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</si>
  <si>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</si>
  <si>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</si>
  <si>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</si>
  <si>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</si>
  <si>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</si>
  <si>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</si>
  <si>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</si>
  <si>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</si>
  <si>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</si>
  <si>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</si>
  <si>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</si>
  <si>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</si>
  <si>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</si>
  <si>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</si>
  <si>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</si>
  <si>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</si>
  <si>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</si>
  <si>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</si>
  <si>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</si>
  <si>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</si>
  <si>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</si>
  <si>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</si>
  <si>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</si>
  <si>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</si>
  <si>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</si>
  <si>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</si>
  <si>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</si>
  <si>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</si>
  <si>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</si>
  <si>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</si>
  <si>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</si>
  <si>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</si>
  <si>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</si>
  <si>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</si>
  <si>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</si>
  <si>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</si>
  <si>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</si>
  <si>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</si>
  <si>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</si>
  <si>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</si>
  <si>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</si>
  <si>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</si>
  <si>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</si>
  <si>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</si>
  <si>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</si>
  <si>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</si>
  <si>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</si>
  <si>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</si>
  <si>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</si>
  <si>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</si>
  <si>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</si>
  <si>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</si>
  <si>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</si>
  <si>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</si>
  <si>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</si>
  <si>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</si>
  <si>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</si>
  <si>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</si>
  <si>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</si>
  <si>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</si>
  <si>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</si>
  <si>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</si>
  <si>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</si>
  <si>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</si>
  <si>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</si>
  <si>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</si>
  <si>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</si>
  <si>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</si>
  <si>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</si>
  <si>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</si>
  <si>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</si>
  <si>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</si>
  <si>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</si>
  <si>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</si>
  <si>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</si>
  <si>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</si>
  <si>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</si>
  <si>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</si>
  <si>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</si>
  <si>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</si>
  <si>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</si>
  <si>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</si>
  <si>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</si>
  <si>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</si>
  <si>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</si>
  <si>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</si>
  <si>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</si>
  <si>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</si>
  <si>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</si>
  <si>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</si>
  <si>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</si>
  <si>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</si>
  <si>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</si>
  <si>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</si>
  <si>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</si>
  <si>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</si>
  <si>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</si>
  <si>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</si>
  <si>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</si>
  <si>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</si>
  <si>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</si>
  <si>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</si>
  <si>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</si>
  <si>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</si>
  <si>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</si>
  <si>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</si>
  <si>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</si>
  <si>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</si>
  <si>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</si>
  <si>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</si>
  <si>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</si>
  <si>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</si>
  <si>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</si>
  <si>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</si>
  <si>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</si>
  <si>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</si>
  <si>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</si>
  <si>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</si>
  <si>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</si>
  <si>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</si>
  <si>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</si>
  <si>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</si>
  <si>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</si>
  <si>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</si>
  <si>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</si>
  <si>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</si>
  <si>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</si>
  <si>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</si>
  <si>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</si>
  <si>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</si>
  <si>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</si>
  <si>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</si>
  <si>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</si>
  <si>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</si>
  <si>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</si>
  <si>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</si>
  <si>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</si>
  <si>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</si>
  <si>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</si>
  <si>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</si>
  <si>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</si>
  <si>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</si>
  <si>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</si>
  <si>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</si>
  <si>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</si>
  <si>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</si>
  <si>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</si>
  <si>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</si>
  <si>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</si>
  <si>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</si>
  <si>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</si>
  <si>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</si>
  <si>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</si>
  <si>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</si>
  <si>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</si>
  <si>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</si>
  <si>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</si>
  <si>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</si>
  <si>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</si>
  <si>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</si>
  <si>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</si>
  <si>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</si>
  <si>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</si>
  <si>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</si>
  <si>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</si>
  <si>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</si>
  <si>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</si>
  <si>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</si>
  <si>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</si>
  <si>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</si>
  <si>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</si>
  <si>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</si>
  <si>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</si>
  <si>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</si>
  <si>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</si>
  <si>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</si>
  <si>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</si>
  <si>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</si>
  <si>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</si>
  <si>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</si>
  <si>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</si>
  <si>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</si>
  <si>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</si>
  <si>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</si>
  <si>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</si>
  <si>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</si>
  <si>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</si>
  <si>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</si>
  <si>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</si>
  <si>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</si>
  <si>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</si>
  <si>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</si>
  <si>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</si>
  <si>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</si>
  <si>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</si>
  <si>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</si>
  <si>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</si>
  <si>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</si>
  <si>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</si>
  <si>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</si>
  <si>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</si>
  <si>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</si>
  <si>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</si>
  <si>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</si>
  <si>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</si>
  <si>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</si>
  <si>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</si>
  <si>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</si>
  <si>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</si>
  <si>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</si>
  <si>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</si>
  <si>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</si>
  <si>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</si>
  <si>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</si>
  <si>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</si>
  <si>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</si>
  <si>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</si>
  <si>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</si>
  <si>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</si>
  <si>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</si>
  <si>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</si>
  <si>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</si>
  <si>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</si>
  <si>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</si>
  <si>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</si>
  <si>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</si>
  <si>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</si>
  <si>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</si>
  <si>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</si>
  <si>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</si>
  <si>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</si>
  <si>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</si>
  <si>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</si>
  <si>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</si>
  <si>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</si>
  <si>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</si>
  <si>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</si>
  <si>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</si>
  <si>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</si>
  <si>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</si>
  <si>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</si>
  <si>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</si>
  <si>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</si>
  <si>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</si>
  <si>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</si>
  <si>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</si>
  <si>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</si>
  <si>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</si>
  <si>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</si>
  <si>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</si>
  <si>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</si>
  <si>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</si>
  <si>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</si>
  <si>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</si>
  <si>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</si>
  <si>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</si>
  <si>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</si>
  <si>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</si>
  <si>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</si>
  <si>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</si>
  <si>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</si>
  <si>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</si>
  <si>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</si>
  <si>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</si>
  <si>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</si>
  <si>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</si>
  <si>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</si>
  <si>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</si>
  <si>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</si>
  <si>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</si>
  <si>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</si>
  <si>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</si>
  <si>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</si>
  <si>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</si>
  <si>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</si>
  <si>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</si>
  <si>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</si>
  <si>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</si>
  <si>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</si>
  <si>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</si>
  <si>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</si>
  <si>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</si>
  <si>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</si>
  <si>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</si>
  <si>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</si>
  <si>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</si>
  <si>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</si>
  <si>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</si>
  <si>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</si>
  <si>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</si>
  <si>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</si>
  <si>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</si>
  <si>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</si>
  <si>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</si>
  <si>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</si>
  <si>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</si>
  <si>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</si>
  <si>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</si>
  <si>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</si>
  <si>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</si>
  <si>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</si>
  <si>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</si>
  <si>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</si>
  <si>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</si>
  <si>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</si>
  <si>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</si>
  <si>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</si>
  <si>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</si>
  <si>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</si>
  <si>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</si>
  <si>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</si>
  <si>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</si>
  <si>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</si>
  <si>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</si>
  <si>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</si>
  <si>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</si>
  <si>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</si>
  <si>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</si>
  <si>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</si>
  <si>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</si>
  <si>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</si>
  <si>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</si>
  <si>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</si>
  <si>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</si>
  <si>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</si>
  <si>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</si>
  <si>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</si>
  <si>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</si>
  <si>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</si>
  <si>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</si>
  <si>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</si>
  <si>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</si>
  <si>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</si>
  <si>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</si>
  <si>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</si>
  <si>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</si>
  <si>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</si>
  <si>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</si>
  <si>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</si>
  <si>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</si>
  <si>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</si>
  <si>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</si>
  <si>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</si>
  <si>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</si>
  <si>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</si>
  <si>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</si>
  <si>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</si>
  <si>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</si>
  <si>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</si>
  <si>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</si>
  <si>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</si>
  <si>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</si>
  <si>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</si>
  <si>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</si>
  <si>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</si>
  <si>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</si>
  <si>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</si>
  <si>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</si>
  <si>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</si>
  <si>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</si>
  <si>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</si>
  <si>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</si>
  <si>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</si>
  <si>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</si>
  <si>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</si>
  <si>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</si>
  <si>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</si>
  <si>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</si>
  <si>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</si>
  <si>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</si>
  <si>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</si>
  <si>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</si>
  <si>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</si>
  <si>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</si>
  <si>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</si>
  <si>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</si>
  <si>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</si>
  <si>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</si>
  <si>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</si>
  <si>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</si>
  <si>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</si>
  <si>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</si>
  <si>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</si>
  <si>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</si>
  <si>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</si>
  <si>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</si>
  <si>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</si>
  <si>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</si>
  <si>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</si>
  <si>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</si>
  <si>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</si>
  <si>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</si>
  <si>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</si>
  <si>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</si>
  <si>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</si>
  <si>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</si>
  <si>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</si>
  <si>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</si>
  <si>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</si>
  <si>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</si>
  <si>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</si>
  <si>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</si>
  <si>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</si>
  <si>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</si>
  <si>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</si>
  <si>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</si>
  <si>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</si>
  <si>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</si>
  <si>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IPTS-18855</t>
  </si>
  <si>
    <t>Wed</t>
  </si>
  <si>
    <t>Feb</t>
  </si>
  <si>
    <t>03_02_2021</t>
  </si>
  <si>
    <t>1_P3HMA_112h_2min-161610-1.</t>
  </si>
  <si>
    <t>2018-07-22T11:28:51.879543666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</si>
</sst>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102.12338243961875</c:v>
                </c:pt>
                <c:pt idx="4">
                  <c:v>102.12338243961875</c:v>
                </c:pt>
                <c:pt idx="5">
                  <c:v>103.70454124791486</c:v>
                </c:pt>
                <c:pt idx="6">
                  <c:v>103.70454124791486</c:v>
                </c:pt>
                <c:pt idx="7">
                  <c:v>104.58442278745321</c:v>
                </c:pt>
                <c:pt idx="8">
                  <c:v>104.58442278745321</c:v>
                </c:pt>
                <c:pt idx="9">
                  <c:v>105.22908458275737</c:v>
                </c:pt>
                <c:pt idx="10">
                  <c:v>105.22908458275737</c:v>
                </c:pt>
                <c:pt idx="11">
                  <c:v>105.75370152643617</c:v>
                </c:pt>
                <c:pt idx="12">
                  <c:v>105.75370152643617</c:v>
                </c:pt>
                <c:pt idx="13">
                  <c:v>106.2067111698907</c:v>
                </c:pt>
                <c:pt idx="14">
                  <c:v>106.2067111698907</c:v>
                </c:pt>
                <c:pt idx="15">
                  <c:v>106.61366921319498</c:v>
                </c:pt>
                <c:pt idx="16">
                  <c:v>106.61366921319498</c:v>
                </c:pt>
                <c:pt idx="17">
                  <c:v>106.9901055558727</c:v>
                </c:pt>
                <c:pt idx="18">
                  <c:v>106.9901055558727</c:v>
                </c:pt>
                <c:pt idx="19">
                  <c:v>107.34653002724086</c:v>
                </c:pt>
                <c:pt idx="20">
                  <c:v>107.34653002724086</c:v>
                </c:pt>
                <c:pt idx="21">
                  <c:v>107.69076795029682</c:v>
                </c:pt>
                <c:pt idx="22">
                  <c:v>107.69076795029682</c:v>
                </c:pt>
                <c:pt idx="23">
                  <c:v>108.02922325927511</c:v>
                </c:pt>
                <c:pt idx="24">
                  <c:v>108.02922325927511</c:v>
                </c:pt>
                <c:pt idx="25">
                  <c:v>108.36767856825341</c:v>
                </c:pt>
                <c:pt idx="26">
                  <c:v>108.36767856825341</c:v>
                </c:pt>
                <c:pt idx="27">
                  <c:v>108.71191649130937</c:v>
                </c:pt>
                <c:pt idx="28">
                  <c:v>108.71191649130937</c:v>
                </c:pt>
                <c:pt idx="29">
                  <c:v>109.06834096267752</c:v>
                </c:pt>
                <c:pt idx="30">
                  <c:v>109.06834096267752</c:v>
                </c:pt>
                <c:pt idx="31">
                  <c:v>109.44477730535525</c:v>
                </c:pt>
                <c:pt idx="32">
                  <c:v>109.44477730535525</c:v>
                </c:pt>
                <c:pt idx="33">
                  <c:v>109.85173534865953</c:v>
                </c:pt>
                <c:pt idx="34">
                  <c:v>109.85173534865953</c:v>
                </c:pt>
                <c:pt idx="35">
                  <c:v>110.30474499211405</c:v>
                </c:pt>
                <c:pt idx="36">
                  <c:v>110.30474499211405</c:v>
                </c:pt>
                <c:pt idx="37">
                  <c:v>110.82936193579286</c:v>
                </c:pt>
                <c:pt idx="38">
                  <c:v>110.82936193579286</c:v>
                </c:pt>
                <c:pt idx="39">
                  <c:v>111.47402373109702</c:v>
                </c:pt>
                <c:pt idx="40">
                  <c:v>111.47402373109702</c:v>
                </c:pt>
                <c:pt idx="41">
                  <c:v>112.35390527063537</c:v>
                </c:pt>
                <c:pt idx="42">
                  <c:v>112.35390527063537</c:v>
                </c:pt>
                <c:pt idx="43">
                  <c:v>113.93506407893148</c:v>
                </c:pt>
                <c:pt idx="44">
                  <c:v>113.93506407893148</c:v>
                </c:pt>
                <c:pt idx="45">
                  <c:v>116.05844651855023</c:v>
                </c:pt>
                <c:pt idx="46">
                  <c:v>116.05844651855023</c:v>
                </c:pt>
                <c:pt idx="47">
                  <c:v>791.63498436834868</c:v>
                </c:pt>
                <c:pt idx="48">
                  <c:v>791.63498436834868</c:v>
                </c:pt>
                <c:pt idx="49">
                  <c:v>856.93274083999245</c:v>
                </c:pt>
                <c:pt idx="50">
                  <c:v>856.93274083999245</c:v>
                </c:pt>
                <c:pt idx="51">
                  <c:v>905.55616395997049</c:v>
                </c:pt>
                <c:pt idx="52">
                  <c:v>905.55616395997049</c:v>
                </c:pt>
                <c:pt idx="53">
                  <c:v>932.61407374610656</c:v>
                </c:pt>
                <c:pt idx="54">
                  <c:v>932.61407374610656</c:v>
                </c:pt>
                <c:pt idx="55">
                  <c:v>952.43856138004503</c:v>
                </c:pt>
                <c:pt idx="56">
                  <c:v>952.43856138004503</c:v>
                </c:pt>
                <c:pt idx="57">
                  <c:v>968.57145802177661</c:v>
                </c:pt>
                <c:pt idx="58">
                  <c:v>968.57145802177661</c:v>
                </c:pt>
                <c:pt idx="59">
                  <c:v>982.50230383912765</c:v>
                </c:pt>
                <c:pt idx="60">
                  <c:v>982.50230383912765</c:v>
                </c:pt>
                <c:pt idx="61">
                  <c:v>995.01698169933968</c:v>
                </c:pt>
                <c:pt idx="62">
                  <c:v>995.01698169933968</c:v>
                </c:pt>
                <c:pt idx="63">
                  <c:v>1006.5930634134086</c:v>
                </c:pt>
                <c:pt idx="64">
                  <c:v>1006.5930634134086</c:v>
                </c:pt>
                <c:pt idx="65">
                  <c:v>1017.5537447761646</c:v>
                </c:pt>
                <c:pt idx="66">
                  <c:v>1017.5537447761646</c:v>
                </c:pt>
                <c:pt idx="67">
                  <c:v>1028.1396682766192</c:v>
                </c:pt>
                <c:pt idx="68">
                  <c:v>1028.1396682766192</c:v>
                </c:pt>
                <c:pt idx="69">
                  <c:v>1038.5477661914572</c:v>
                </c:pt>
                <c:pt idx="70">
                  <c:v>1038.5477661914572</c:v>
                </c:pt>
                <c:pt idx="71">
                  <c:v>1042.8591246130841</c:v>
                </c:pt>
                <c:pt idx="72">
                  <c:v>1042.8591246130841</c:v>
                </c:pt>
                <c:pt idx="73">
                  <c:v>1051.4818414563379</c:v>
                </c:pt>
                <c:pt idx="74">
                  <c:v>1051.4818414563379</c:v>
                </c:pt>
                <c:pt idx="75">
                  <c:v>1060.1045582995916</c:v>
                </c:pt>
                <c:pt idx="76">
                  <c:v>1060.1045582995916</c:v>
                </c:pt>
                <c:pt idx="77">
                  <c:v>1068.7272751428454</c:v>
                </c:pt>
                <c:pt idx="78">
                  <c:v>1068.7272751428454</c:v>
                </c:pt>
                <c:pt idx="79">
                  <c:v>1077.3499919860992</c:v>
                </c:pt>
                <c:pt idx="80">
                  <c:v>1077.3499919860992</c:v>
                </c:pt>
                <c:pt idx="81">
                  <c:v>1085.972708829353</c:v>
                </c:pt>
                <c:pt idx="82">
                  <c:v>1085.972708829353</c:v>
                </c:pt>
                <c:pt idx="83">
                  <c:v>1094.5954256726068</c:v>
                </c:pt>
                <c:pt idx="84">
                  <c:v>1094.5954256726068</c:v>
                </c:pt>
                <c:pt idx="85">
                  <c:v>1103.2181425158606</c:v>
                </c:pt>
                <c:pt idx="86">
                  <c:v>1103.2181425158606</c:v>
                </c:pt>
                <c:pt idx="87">
                  <c:v>1111.8408593591143</c:v>
                </c:pt>
                <c:pt idx="88">
                  <c:v>1111.8408593591143</c:v>
                </c:pt>
                <c:pt idx="89">
                  <c:v>1120.4635762023681</c:v>
                </c:pt>
                <c:pt idx="90">
                  <c:v>1120.4635762023681</c:v>
                </c:pt>
                <c:pt idx="91">
                  <c:v>1129.0862930456219</c:v>
                </c:pt>
                <c:pt idx="92">
                  <c:v>1129.0862930456219</c:v>
                </c:pt>
                <c:pt idx="93">
                  <c:v>1137.7090098888757</c:v>
                </c:pt>
                <c:pt idx="94">
                  <c:v>1137.7090098888757</c:v>
                </c:pt>
                <c:pt idx="95">
                  <c:v>1146.3317267321295</c:v>
                </c:pt>
                <c:pt idx="96">
                  <c:v>1146.3317267321295</c:v>
                </c:pt>
                <c:pt idx="97">
                  <c:v>1154.9544435753833</c:v>
                </c:pt>
                <c:pt idx="98">
                  <c:v>1154.9544435753833</c:v>
                </c:pt>
                <c:pt idx="99">
                  <c:v>1163.577160418637</c:v>
                </c:pt>
                <c:pt idx="100">
                  <c:v>1163.577160418637</c:v>
                </c:pt>
                <c:pt idx="101">
                  <c:v>1172.1998772618908</c:v>
                </c:pt>
                <c:pt idx="102">
                  <c:v>1172.1998772618908</c:v>
                </c:pt>
                <c:pt idx="103">
                  <c:v>1180.8225941051446</c:v>
                </c:pt>
                <c:pt idx="104">
                  <c:v>1180.8225941051446</c:v>
                </c:pt>
                <c:pt idx="105">
                  <c:v>1189.4453109483984</c:v>
                </c:pt>
                <c:pt idx="106">
                  <c:v>1189.4453109483984</c:v>
                </c:pt>
                <c:pt idx="107">
                  <c:v>1198.0680277916522</c:v>
                </c:pt>
                <c:pt idx="108">
                  <c:v>1198.0680277916522</c:v>
                </c:pt>
                <c:pt idx="109">
                  <c:v>1206.690744634906</c:v>
                </c:pt>
                <c:pt idx="110">
                  <c:v>1206.690744634906</c:v>
                </c:pt>
                <c:pt idx="111">
                  <c:v>1215.3134614781598</c:v>
                </c:pt>
                <c:pt idx="112">
                  <c:v>1215.3134614781598</c:v>
                </c:pt>
                <c:pt idx="113">
                  <c:v>1223.9361783214135</c:v>
                </c:pt>
                <c:pt idx="114">
                  <c:v>1223.9361783214135</c:v>
                </c:pt>
                <c:pt idx="115">
                  <c:v>1228.2475367430404</c:v>
                </c:pt>
                <c:pt idx="116">
                  <c:v>1228.2475367430404</c:v>
                </c:pt>
                <c:pt idx="117">
                  <c:v>1228.4748094703132</c:v>
                </c:pt>
                <c:pt idx="118">
                  <c:v>1228.4748094703132</c:v>
                </c:pt>
                <c:pt idx="119">
                  <c:v>1228.9293549248587</c:v>
                </c:pt>
                <c:pt idx="120">
                  <c:v>1228.9293549248587</c:v>
                </c:pt>
                <c:pt idx="121">
                  <c:v>1229.3839003794042</c:v>
                </c:pt>
                <c:pt idx="122">
                  <c:v>1229.3839003794042</c:v>
                </c:pt>
                <c:pt idx="123">
                  <c:v>1229.8384458339497</c:v>
                </c:pt>
                <c:pt idx="124">
                  <c:v>1229.8384458339497</c:v>
                </c:pt>
                <c:pt idx="125">
                  <c:v>1230.2929912884952</c:v>
                </c:pt>
                <c:pt idx="126">
                  <c:v>1230.2929912884952</c:v>
                </c:pt>
                <c:pt idx="127">
                  <c:v>1230.7475367430407</c:v>
                </c:pt>
                <c:pt idx="128">
                  <c:v>1230.7475367430407</c:v>
                </c:pt>
                <c:pt idx="129">
                  <c:v>1231.2020821975862</c:v>
                </c:pt>
                <c:pt idx="130">
                  <c:v>1231.2020821975862</c:v>
                </c:pt>
                <c:pt idx="131">
                  <c:v>1231.6566276521316</c:v>
                </c:pt>
                <c:pt idx="132">
                  <c:v>1231.6566276521316</c:v>
                </c:pt>
                <c:pt idx="133">
                  <c:v>1232.1111731066771</c:v>
                </c:pt>
                <c:pt idx="134">
                  <c:v>1232.1111731066771</c:v>
                </c:pt>
                <c:pt idx="135">
                  <c:v>1232.5657185612226</c:v>
                </c:pt>
                <c:pt idx="136">
                  <c:v>1232.5657185612226</c:v>
                </c:pt>
                <c:pt idx="137">
                  <c:v>1233.0202640157681</c:v>
                </c:pt>
                <c:pt idx="138">
                  <c:v>1233.0202640157681</c:v>
                </c:pt>
                <c:pt idx="139">
                  <c:v>1233.4748094703136</c:v>
                </c:pt>
                <c:pt idx="140">
                  <c:v>1233.4748094703136</c:v>
                </c:pt>
                <c:pt idx="141">
                  <c:v>1233.9293549248591</c:v>
                </c:pt>
                <c:pt idx="142">
                  <c:v>1233.9293549248591</c:v>
                </c:pt>
                <c:pt idx="143">
                  <c:v>1234.3839003794046</c:v>
                </c:pt>
                <c:pt idx="144">
                  <c:v>1234.3839003794046</c:v>
                </c:pt>
                <c:pt idx="145">
                  <c:v>1234.8384458339501</c:v>
                </c:pt>
                <c:pt idx="146">
                  <c:v>1234.8384458339501</c:v>
                </c:pt>
                <c:pt idx="147">
                  <c:v>1235.2929912884956</c:v>
                </c:pt>
                <c:pt idx="148">
                  <c:v>1235.2929912884956</c:v>
                </c:pt>
                <c:pt idx="149">
                  <c:v>1235.7475367430411</c:v>
                </c:pt>
                <c:pt idx="150">
                  <c:v>1235.7475367430411</c:v>
                </c:pt>
                <c:pt idx="151">
                  <c:v>1236.2020821975866</c:v>
                </c:pt>
                <c:pt idx="152">
                  <c:v>1236.2020821975866</c:v>
                </c:pt>
                <c:pt idx="153">
                  <c:v>1236.6566276521321</c:v>
                </c:pt>
                <c:pt idx="154">
                  <c:v>1236.6566276521321</c:v>
                </c:pt>
                <c:pt idx="155">
                  <c:v>1237.1111731066776</c:v>
                </c:pt>
                <c:pt idx="156">
                  <c:v>1237.1111731066776</c:v>
                </c:pt>
                <c:pt idx="157">
                  <c:v>1237.5657185612231</c:v>
                </c:pt>
                <c:pt idx="158">
                  <c:v>1237.5657185612231</c:v>
                </c:pt>
                <c:pt idx="159">
                  <c:v>1238.0202640157686</c:v>
                </c:pt>
                <c:pt idx="160">
                  <c:v>1238.0202640157686</c:v>
                </c:pt>
                <c:pt idx="161">
                  <c:v>1238.2475367430413</c:v>
                </c:pt>
                <c:pt idx="162">
                  <c:v>1238.2475367430413</c:v>
                </c:pt>
                <c:pt idx="163">
                  <c:v>1238.5218675417707</c:v>
                </c:pt>
                <c:pt idx="164">
                  <c:v>1238.5218675417707</c:v>
                </c:pt>
                <c:pt idx="165">
                  <c:v>1238.800885367403</c:v>
                </c:pt>
                <c:pt idx="166">
                  <c:v>1238.800885367403</c:v>
                </c:pt>
                <c:pt idx="167">
                  <c:v>1239.0897808502727</c:v>
                </c:pt>
                <c:pt idx="168">
                  <c:v>1239.0897808502727</c:v>
                </c:pt>
                <c:pt idx="169">
                  <c:v>1239.3948967099391</c:v>
                </c:pt>
                <c:pt idx="170">
                  <c:v>1239.3948967099391</c:v>
                </c:pt>
                <c:pt idx="171">
                  <c:v>1239.7247515596266</c:v>
                </c:pt>
                <c:pt idx="172">
                  <c:v>1239.7247515596266</c:v>
                </c:pt>
                <c:pt idx="173">
                  <c:v>1240.0919329688832</c:v>
                </c:pt>
                <c:pt idx="174">
                  <c:v>1240.0919329688832</c:v>
                </c:pt>
                <c:pt idx="175">
                  <c:v>1240.5171547969019</c:v>
                </c:pt>
                <c:pt idx="176">
                  <c:v>1240.5171547969019</c:v>
                </c:pt>
                <c:pt idx="177">
                  <c:v>1241.0396775067686</c:v>
                </c:pt>
                <c:pt idx="178">
                  <c:v>1241.0396775067686</c:v>
                </c:pt>
                <c:pt idx="179">
                  <c:v>1241.7528546947922</c:v>
                </c:pt>
                <c:pt idx="180">
                  <c:v>1241.7528546947922</c:v>
                </c:pt>
                <c:pt idx="181">
                  <c:v>1243.0344435701661</c:v>
                </c:pt>
                <c:pt idx="182">
                  <c:v>1243.0344435701661</c:v>
                </c:pt>
                <c:pt idx="183">
                  <c:v>1244.7555251582403</c:v>
                </c:pt>
                <c:pt idx="184">
                  <c:v>1244.7555251582403</c:v>
                </c:pt>
                <c:pt idx="185">
                  <c:v>1253.7680221188941</c:v>
                </c:pt>
                <c:pt idx="186">
                  <c:v>1253.7680221188941</c:v>
                </c:pt>
                <c:pt idx="187">
                  <c:v>1255.4891037069683</c:v>
                </c:pt>
                <c:pt idx="188">
                  <c:v>1255.4891037069683</c:v>
                </c:pt>
                <c:pt idx="189">
                  <c:v>1256.7706925823422</c:v>
                </c:pt>
                <c:pt idx="190">
                  <c:v>1256.7706925823422</c:v>
                </c:pt>
                <c:pt idx="191">
                  <c:v>1257.4838697703658</c:v>
                </c:pt>
                <c:pt idx="192">
                  <c:v>1257.4838697703658</c:v>
                </c:pt>
                <c:pt idx="193">
                  <c:v>1258.0063924802325</c:v>
                </c:pt>
                <c:pt idx="194">
                  <c:v>1258.0063924802325</c:v>
                </c:pt>
                <c:pt idx="195">
                  <c:v>1258.4316143082513</c:v>
                </c:pt>
                <c:pt idx="196">
                  <c:v>1258.4316143082513</c:v>
                </c:pt>
                <c:pt idx="197">
                  <c:v>1258.7987957175078</c:v>
                </c:pt>
                <c:pt idx="198">
                  <c:v>1258.7987957175078</c:v>
                </c:pt>
                <c:pt idx="199">
                  <c:v>1259.1286505671953</c:v>
                </c:pt>
                <c:pt idx="200">
                  <c:v>1259.1286505671953</c:v>
                </c:pt>
                <c:pt idx="201">
                  <c:v>1259.4337664268617</c:v>
                </c:pt>
                <c:pt idx="202">
                  <c:v>1259.4337664268617</c:v>
                </c:pt>
                <c:pt idx="203">
                  <c:v>1259.7226619097314</c:v>
                </c:pt>
                <c:pt idx="204">
                  <c:v>1259.7226619097314</c:v>
                </c:pt>
                <c:pt idx="205">
                  <c:v>1260.0016797353637</c:v>
                </c:pt>
                <c:pt idx="206">
                  <c:v>1260.0016797353637</c:v>
                </c:pt>
                <c:pt idx="207">
                  <c:v>1260.2760105340931</c:v>
                </c:pt>
                <c:pt idx="208">
                  <c:v>1260.2760105340931</c:v>
                </c:pt>
                <c:pt idx="209">
                  <c:v>1260.5503413328224</c:v>
                </c:pt>
                <c:pt idx="210">
                  <c:v>1260.5503413328224</c:v>
                </c:pt>
                <c:pt idx="211">
                  <c:v>1260.8293591584547</c:v>
                </c:pt>
                <c:pt idx="212">
                  <c:v>1260.8293591584547</c:v>
                </c:pt>
                <c:pt idx="213">
                  <c:v>1261.1182546413245</c:v>
                </c:pt>
                <c:pt idx="214">
                  <c:v>1261.1182546413245</c:v>
                </c:pt>
                <c:pt idx="215">
                  <c:v>1261.4233705009908</c:v>
                </c:pt>
                <c:pt idx="216">
                  <c:v>1261.4233705009908</c:v>
                </c:pt>
                <c:pt idx="217">
                  <c:v>1261.7532253506783</c:v>
                </c:pt>
                <c:pt idx="218">
                  <c:v>1261.7532253506783</c:v>
                </c:pt>
                <c:pt idx="219">
                  <c:v>1262.1204067599349</c:v>
                </c:pt>
                <c:pt idx="220">
                  <c:v>1262.1204067599349</c:v>
                </c:pt>
                <c:pt idx="221">
                  <c:v>1262.5456285879536</c:v>
                </c:pt>
                <c:pt idx="222">
                  <c:v>1262.5456285879536</c:v>
                </c:pt>
                <c:pt idx="223">
                  <c:v>1263.0681512978204</c:v>
                </c:pt>
                <c:pt idx="224">
                  <c:v>1263.0681512978204</c:v>
                </c:pt>
                <c:pt idx="225">
                  <c:v>1263.7813284858439</c:v>
                </c:pt>
                <c:pt idx="226">
                  <c:v>1263.7813284858439</c:v>
                </c:pt>
                <c:pt idx="227">
                  <c:v>1265.0629173612178</c:v>
                </c:pt>
                <c:pt idx="228">
                  <c:v>1265.0629173612178</c:v>
                </c:pt>
                <c:pt idx="229">
                  <c:v>1266.783998949292</c:v>
                </c:pt>
                <c:pt idx="230">
                  <c:v>1266.783998949292</c:v>
                </c:pt>
                <c:pt idx="231">
                  <c:v>1366.783998949292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8.1763851360431745E-9</c:v>
                </c:pt>
                <c:pt idx="3">
                  <c:v>8.1763851360431745E-9</c:v>
                </c:pt>
                <c:pt idx="4">
                  <c:v>6.73512491138856E-8</c:v>
                </c:pt>
                <c:pt idx="5">
                  <c:v>6.73512491138856E-8</c:v>
                </c:pt>
                <c:pt idx="6">
                  <c:v>1.5295657534662166E-7</c:v>
                </c:pt>
                <c:pt idx="7">
                  <c:v>1.5295657534662166E-7</c:v>
                </c:pt>
                <c:pt idx="8">
                  <c:v>2.4982348053734248E-7</c:v>
                </c:pt>
                <c:pt idx="9">
                  <c:v>2.4982348053734248E-7</c:v>
                </c:pt>
                <c:pt idx="10">
                  <c:v>3.520519868644961E-7</c:v>
                </c:pt>
                <c:pt idx="11">
                  <c:v>3.520519868644961E-7</c:v>
                </c:pt>
                <c:pt idx="12">
                  <c:v>4.5694113131399844E-7</c:v>
                </c:pt>
                <c:pt idx="13">
                  <c:v>4.5694113131399844E-7</c:v>
                </c:pt>
                <c:pt idx="14">
                  <c:v>5.6314445264012318E-7</c:v>
                </c:pt>
                <c:pt idx="15">
                  <c:v>5.6314445264012318E-7</c:v>
                </c:pt>
                <c:pt idx="16">
                  <c:v>6.6996647776079111E-7</c:v>
                </c:pt>
                <c:pt idx="17">
                  <c:v>6.6996647776079111E-7</c:v>
                </c:pt>
                <c:pt idx="18">
                  <c:v>7.7705080585730459E-7</c:v>
                </c:pt>
                <c:pt idx="19">
                  <c:v>7.7705080585730459E-7</c:v>
                </c:pt>
                <c:pt idx="20">
                  <c:v>8.8422599478003031E-7</c:v>
                </c:pt>
                <c:pt idx="21">
                  <c:v>8.8422599478003031E-7</c:v>
                </c:pt>
                <c:pt idx="22">
                  <c:v>9.9142215018661198E-7</c:v>
                </c:pt>
                <c:pt idx="23">
                  <c:v>9.9142215018661198E-7</c:v>
                </c:pt>
                <c:pt idx="24">
                  <c:v>1.0986206418749772E-6</c:v>
                </c:pt>
                <c:pt idx="25">
                  <c:v>1.0986206418749772E-6</c:v>
                </c:pt>
                <c:pt idx="26">
                  <c:v>1.2058167972815588E-6</c:v>
                </c:pt>
                <c:pt idx="27">
                  <c:v>1.2058167972815588E-6</c:v>
                </c:pt>
                <c:pt idx="28">
                  <c:v>1.3129919862042846E-6</c:v>
                </c:pt>
                <c:pt idx="29">
                  <c:v>1.3129919862042846E-6</c:v>
                </c:pt>
                <c:pt idx="30">
                  <c:v>1.4200763143007979E-6</c:v>
                </c:pt>
                <c:pt idx="31">
                  <c:v>1.4200763143007979E-6</c:v>
                </c:pt>
                <c:pt idx="32">
                  <c:v>1.5268983394214662E-6</c:v>
                </c:pt>
                <c:pt idx="33">
                  <c:v>1.5268983394214662E-6</c:v>
                </c:pt>
                <c:pt idx="34">
                  <c:v>1.6331016607475906E-6</c:v>
                </c:pt>
                <c:pt idx="35">
                  <c:v>1.6331016607475906E-6</c:v>
                </c:pt>
                <c:pt idx="36">
                  <c:v>1.737990805197093E-6</c:v>
                </c:pt>
                <c:pt idx="37">
                  <c:v>1.737990805197093E-6</c:v>
                </c:pt>
                <c:pt idx="38">
                  <c:v>1.8402193115242467E-6</c:v>
                </c:pt>
                <c:pt idx="39">
                  <c:v>1.8402193115242467E-6</c:v>
                </c:pt>
                <c:pt idx="40">
                  <c:v>1.9370862167149674E-6</c:v>
                </c:pt>
                <c:pt idx="41">
                  <c:v>1.9370862167149674E-6</c:v>
                </c:pt>
                <c:pt idx="42">
                  <c:v>2.0226915429477034E-6</c:v>
                </c:pt>
                <c:pt idx="43">
                  <c:v>2.0226915429477034E-6</c:v>
                </c:pt>
                <c:pt idx="44">
                  <c:v>2.0818664069255459E-6</c:v>
                </c:pt>
                <c:pt idx="45">
                  <c:v>2.0818664069255459E-6</c:v>
                </c:pt>
                <c:pt idx="46">
                  <c:v>2.0900427920615892E-6</c:v>
                </c:pt>
                <c:pt idx="47">
                  <c:v>2.0900427920615892E-6</c:v>
                </c:pt>
                <c:pt idx="48">
                  <c:v>2.0889081277298188E-6</c:v>
                </c:pt>
                <c:pt idx="49">
                  <c:v>2.0889081277298188E-6</c:v>
                </c:pt>
                <c:pt idx="50">
                  <c:v>2.0806962337967603E-6</c:v>
                </c:pt>
                <c:pt idx="51">
                  <c:v>2.0806962337967603E-6</c:v>
                </c:pt>
                <c:pt idx="52">
                  <c:v>2.0688164961535723E-6</c:v>
                </c:pt>
                <c:pt idx="53">
                  <c:v>2.0688164961535723E-6</c:v>
                </c:pt>
                <c:pt idx="54">
                  <c:v>2.0553739515057688E-6</c:v>
                </c:pt>
                <c:pt idx="55">
                  <c:v>2.0553739515057688E-6</c:v>
                </c:pt>
                <c:pt idx="56">
                  <c:v>2.0411873595229306E-6</c:v>
                </c:pt>
                <c:pt idx="57">
                  <c:v>2.0411873595229306E-6</c:v>
                </c:pt>
                <c:pt idx="58">
                  <c:v>2.0266315418826725E-6</c:v>
                </c:pt>
                <c:pt idx="59">
                  <c:v>2.0266315418826725E-6</c:v>
                </c:pt>
                <c:pt idx="60">
                  <c:v>2.0118933515186822E-6</c:v>
                </c:pt>
                <c:pt idx="61">
                  <c:v>2.0118933515186822E-6</c:v>
                </c:pt>
                <c:pt idx="62">
                  <c:v>1.9970693015583152E-6</c:v>
                </c:pt>
                <c:pt idx="63">
                  <c:v>1.9970693015583152E-6</c:v>
                </c:pt>
                <c:pt idx="64">
                  <c:v>1.9822088509360599E-6</c:v>
                </c:pt>
                <c:pt idx="65">
                  <c:v>1.9822088509360599E-6</c:v>
                </c:pt>
                <c:pt idx="66">
                  <c:v>1.967335791252839E-6</c:v>
                </c:pt>
                <c:pt idx="67">
                  <c:v>1.967335791252839E-6</c:v>
                </c:pt>
                <c:pt idx="68">
                  <c:v>1.9524598219804781E-6</c:v>
                </c:pt>
                <c:pt idx="69">
                  <c:v>1.9524598219804781E-6</c:v>
                </c:pt>
                <c:pt idx="70">
                  <c:v>1.9419259096751541E-6</c:v>
                </c:pt>
                <c:pt idx="71">
                  <c:v>1.9419259096751541E-6</c:v>
                </c:pt>
                <c:pt idx="72">
                  <c:v>1.9326607820178711E-6</c:v>
                </c:pt>
                <c:pt idx="73">
                  <c:v>1.9326607820178711E-6</c:v>
                </c:pt>
                <c:pt idx="74">
                  <c:v>1.9204405875512467E-6</c:v>
                </c:pt>
                <c:pt idx="75">
                  <c:v>1.9204405875512467E-6</c:v>
                </c:pt>
                <c:pt idx="76">
                  <c:v>1.9084969104115585E-6</c:v>
                </c:pt>
                <c:pt idx="77">
                  <c:v>1.9084969104115585E-6</c:v>
                </c:pt>
                <c:pt idx="78">
                  <c:v>1.8969563244877234E-6</c:v>
                </c:pt>
                <c:pt idx="79">
                  <c:v>1.8969563244877234E-6</c:v>
                </c:pt>
                <c:pt idx="80">
                  <c:v>1.8859321281374977E-6</c:v>
                </c:pt>
                <c:pt idx="81">
                  <c:v>1.8859321281374977E-6</c:v>
                </c:pt>
                <c:pt idx="82">
                  <c:v>1.8755210602578627E-6</c:v>
                </c:pt>
                <c:pt idx="83">
                  <c:v>1.8755210602578627E-6</c:v>
                </c:pt>
                <c:pt idx="84">
                  <c:v>1.8658009080554407E-6</c:v>
                </c:pt>
                <c:pt idx="85">
                  <c:v>1.8658009080554407E-6</c:v>
                </c:pt>
                <c:pt idx="86">
                  <c:v>1.8568290886829434E-6</c:v>
                </c:pt>
                <c:pt idx="87">
                  <c:v>1.8568290886829434E-6</c:v>
                </c:pt>
                <c:pt idx="88">
                  <c:v>1.8486422202341636E-6</c:v>
                </c:pt>
                <c:pt idx="89">
                  <c:v>1.8486422202341636E-6</c:v>
                </c:pt>
                <c:pt idx="90">
                  <c:v>1.8412566331646644E-6</c:v>
                </c:pt>
                <c:pt idx="91">
                  <c:v>1.8412566331646644E-6</c:v>
                </c:pt>
                <c:pt idx="92">
                  <c:v>1.8346697166028916E-6</c:v>
                </c:pt>
                <c:pt idx="93">
                  <c:v>1.8346697166028916E-6</c:v>
                </c:pt>
                <c:pt idx="94">
                  <c:v>1.8288619496523514E-6</c:v>
                </c:pt>
                <c:pt idx="95">
                  <c:v>1.8288619496523514E-6</c:v>
                </c:pt>
                <c:pt idx="96">
                  <c:v>1.8237994385202825E-6</c:v>
                </c:pt>
                <c:pt idx="97">
                  <c:v>1.8237994385202825E-6</c:v>
                </c:pt>
                <c:pt idx="98">
                  <c:v>1.819436767269665E-6</c:v>
                </c:pt>
                <c:pt idx="99">
                  <c:v>1.819436767269665E-6</c:v>
                </c:pt>
                <c:pt idx="100">
                  <c:v>1.8157199726191644E-6</c:v>
                </c:pt>
                <c:pt idx="101">
                  <c:v>1.8157199726191644E-6</c:v>
                </c:pt>
                <c:pt idx="102">
                  <c:v>1.8125894695004999E-6</c:v>
                </c:pt>
                <c:pt idx="103">
                  <c:v>1.8125894695004999E-6</c:v>
                </c:pt>
                <c:pt idx="104">
                  <c:v>1.8099827809497376E-6</c:v>
                </c:pt>
                <c:pt idx="105">
                  <c:v>1.8099827809497376E-6</c:v>
                </c:pt>
                <c:pt idx="106">
                  <c:v>1.8078369596774733E-6</c:v>
                </c:pt>
                <c:pt idx="107">
                  <c:v>1.8078369596774733E-6</c:v>
                </c:pt>
                <c:pt idx="108">
                  <c:v>1.8060906250481978E-6</c:v>
                </c:pt>
                <c:pt idx="109">
                  <c:v>1.8060906250481978E-6</c:v>
                </c:pt>
                <c:pt idx="110">
                  <c:v>1.8046652114343051E-6</c:v>
                </c:pt>
                <c:pt idx="111">
                  <c:v>1.8046652114343051E-6</c:v>
                </c:pt>
                <c:pt idx="112">
                  <c:v>1.7859575038339328E-6</c:v>
                </c:pt>
                <c:pt idx="113">
                  <c:v>1.7859575038339328E-6</c:v>
                </c:pt>
                <c:pt idx="114">
                  <c:v>1.5483253500019976E-6</c:v>
                </c:pt>
                <c:pt idx="115">
                  <c:v>1.5483253500019976E-6</c:v>
                </c:pt>
                <c:pt idx="116">
                  <c:v>1.374991114711807E-6</c:v>
                </c:pt>
                <c:pt idx="117">
                  <c:v>1.374991114711807E-6</c:v>
                </c:pt>
                <c:pt idx="118">
                  <c:v>1.3484095092912262E-6</c:v>
                </c:pt>
                <c:pt idx="119">
                  <c:v>1.3484095092912262E-6</c:v>
                </c:pt>
                <c:pt idx="120">
                  <c:v>1.3133573486662199E-6</c:v>
                </c:pt>
                <c:pt idx="121">
                  <c:v>1.3133573486662199E-6</c:v>
                </c:pt>
                <c:pt idx="122">
                  <c:v>1.2791180248689619E-6</c:v>
                </c:pt>
                <c:pt idx="123">
                  <c:v>1.2791180248689619E-6</c:v>
                </c:pt>
                <c:pt idx="124">
                  <c:v>1.246080047726297E-6</c:v>
                </c:pt>
                <c:pt idx="125">
                  <c:v>1.246080047726297E-6</c:v>
                </c:pt>
                <c:pt idx="126">
                  <c:v>1.2146220337020639E-6</c:v>
                </c:pt>
                <c:pt idx="127">
                  <c:v>1.2146220337020639E-6</c:v>
                </c:pt>
                <c:pt idx="128">
                  <c:v>1.1851289221833947E-6</c:v>
                </c:pt>
                <c:pt idx="129">
                  <c:v>1.1851289221833947E-6</c:v>
                </c:pt>
                <c:pt idx="130">
                  <c:v>1.1580280708918983E-6</c:v>
                </c:pt>
                <c:pt idx="131">
                  <c:v>1.1580280708918983E-6</c:v>
                </c:pt>
                <c:pt idx="132">
                  <c:v>1.1338517919320441E-6</c:v>
                </c:pt>
                <c:pt idx="133">
                  <c:v>1.1338517919320441E-6</c:v>
                </c:pt>
                <c:pt idx="134">
                  <c:v>1.1133306450493241E-6</c:v>
                </c:pt>
                <c:pt idx="135">
                  <c:v>1.1133306450493241E-6</c:v>
                </c:pt>
                <c:pt idx="136">
                  <c:v>1.0975154363897611E-6</c:v>
                </c:pt>
                <c:pt idx="137">
                  <c:v>1.0975154363897611E-6</c:v>
                </c:pt>
                <c:pt idx="138">
                  <c:v>1.087914221974695E-6</c:v>
                </c:pt>
                <c:pt idx="139">
                  <c:v>1.087914221974695E-6</c:v>
                </c:pt>
                <c:pt idx="140">
                  <c:v>1.0866142892089045E-6</c:v>
                </c:pt>
                <c:pt idx="141">
                  <c:v>1.0866142892089045E-6</c:v>
                </c:pt>
                <c:pt idx="142">
                  <c:v>1.0963417458657432E-6</c:v>
                </c:pt>
                <c:pt idx="143">
                  <c:v>1.0963417458657432E-6</c:v>
                </c:pt>
                <c:pt idx="144">
                  <c:v>1.1204001666069333E-6</c:v>
                </c:pt>
                <c:pt idx="145">
                  <c:v>1.1204001666069333E-6</c:v>
                </c:pt>
                <c:pt idx="146">
                  <c:v>1.1624340626814443E-6</c:v>
                </c:pt>
                <c:pt idx="147">
                  <c:v>1.1624340626814443E-6</c:v>
                </c:pt>
                <c:pt idx="148">
                  <c:v>1.2259905270460306E-6</c:v>
                </c:pt>
                <c:pt idx="149">
                  <c:v>1.2259905270460306E-6</c:v>
                </c:pt>
                <c:pt idx="150">
                  <c:v>1.3139042935515089E-6</c:v>
                </c:pt>
                <c:pt idx="151">
                  <c:v>1.3139042935515089E-6</c:v>
                </c:pt>
                <c:pt idx="152">
                  <c:v>1.4275976588473022E-6</c:v>
                </c:pt>
                <c:pt idx="153">
                  <c:v>1.4275976588473022E-6</c:v>
                </c:pt>
                <c:pt idx="154">
                  <c:v>1.5664461392835374E-6</c:v>
                </c:pt>
                <c:pt idx="155">
                  <c:v>1.5664461392835374E-6</c:v>
                </c:pt>
                <c:pt idx="156">
                  <c:v>1.727387198213203E-6</c:v>
                </c:pt>
                <c:pt idx="157">
                  <c:v>1.727387198213203E-6</c:v>
                </c:pt>
                <c:pt idx="158">
                  <c:v>1.9049228510912076E-6</c:v>
                </c:pt>
                <c:pt idx="159">
                  <c:v>1.9049228510912076E-6</c:v>
                </c:pt>
                <c:pt idx="160">
                  <c:v>2.0445234750626518E-6</c:v>
                </c:pt>
                <c:pt idx="161">
                  <c:v>2.0445234750626518E-6</c:v>
                </c:pt>
                <c:pt idx="162">
                  <c:v>2.1411167493014851E-6</c:v>
                </c:pt>
                <c:pt idx="163">
                  <c:v>2.1411167493014851E-6</c:v>
                </c:pt>
                <c:pt idx="164">
                  <c:v>2.255607043348213E-6</c:v>
                </c:pt>
                <c:pt idx="165">
                  <c:v>2.255607043348213E-6</c:v>
                </c:pt>
                <c:pt idx="166">
                  <c:v>2.3700749442513368E-6</c:v>
                </c:pt>
                <c:pt idx="167">
                  <c:v>2.3700749442513368E-6</c:v>
                </c:pt>
                <c:pt idx="168">
                  <c:v>2.4844458017234639E-6</c:v>
                </c:pt>
                <c:pt idx="169">
                  <c:v>2.4844458017234639E-6</c:v>
                </c:pt>
                <c:pt idx="170">
                  <c:v>2.5985365078718796E-6</c:v>
                </c:pt>
                <c:pt idx="171">
                  <c:v>2.5985365078718796E-6</c:v>
                </c:pt>
                <c:pt idx="172">
                  <c:v>2.711966410663156E-6</c:v>
                </c:pt>
                <c:pt idx="173">
                  <c:v>2.711966410663156E-6</c:v>
                </c:pt>
                <c:pt idx="174">
                  <c:v>2.8239927137034601E-6</c:v>
                </c:pt>
                <c:pt idx="175">
                  <c:v>2.8239927137034601E-6</c:v>
                </c:pt>
                <c:pt idx="176">
                  <c:v>2.9331773360899732E-6</c:v>
                </c:pt>
                <c:pt idx="177">
                  <c:v>2.9331773360899732E-6</c:v>
                </c:pt>
                <c:pt idx="178">
                  <c:v>3.0366355283788469E-6</c:v>
                </c:pt>
                <c:pt idx="179">
                  <c:v>3.0366355283788469E-6</c:v>
                </c:pt>
                <c:pt idx="180">
                  <c:v>3.1280658500650879E-6</c:v>
                </c:pt>
                <c:pt idx="181">
                  <c:v>3.1280658500650879E-6</c:v>
                </c:pt>
                <c:pt idx="182">
                  <c:v>3.1912672545492482E-6</c:v>
                </c:pt>
                <c:pt idx="183">
                  <c:v>3.1912672545492482E-6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3.1954958694737124E-6</c:v>
                </c:pt>
                <c:pt idx="187">
                  <c:v>3.1954958694737124E-6</c:v>
                </c:pt>
                <c:pt idx="188">
                  <c:v>3.1628981741845572E-6</c:v>
                </c:pt>
                <c:pt idx="189">
                  <c:v>3.1628981741845572E-6</c:v>
                </c:pt>
                <c:pt idx="190">
                  <c:v>3.1157407131938853E-6</c:v>
                </c:pt>
                <c:pt idx="191">
                  <c:v>3.1157407131938853E-6</c:v>
                </c:pt>
                <c:pt idx="192">
                  <c:v>3.0623795789766111E-6</c:v>
                </c:pt>
                <c:pt idx="193">
                  <c:v>3.0623795789766111E-6</c:v>
                </c:pt>
                <c:pt idx="194">
                  <c:v>3.0060648961010269E-6</c:v>
                </c:pt>
                <c:pt idx="195">
                  <c:v>3.0060648961010269E-6</c:v>
                </c:pt>
                <c:pt idx="196">
                  <c:v>2.9482845457957806E-6</c:v>
                </c:pt>
                <c:pt idx="197">
                  <c:v>2.9482845457957806E-6</c:v>
                </c:pt>
                <c:pt idx="198">
                  <c:v>2.8897802540312648E-6</c:v>
                </c:pt>
                <c:pt idx="199">
                  <c:v>2.8897802540312648E-6</c:v>
                </c:pt>
                <c:pt idx="200">
                  <c:v>2.8309351365104562E-6</c:v>
                </c:pt>
                <c:pt idx="201">
                  <c:v>2.8309351365104562E-6</c:v>
                </c:pt>
                <c:pt idx="202">
                  <c:v>2.7719455239810363E-6</c:v>
                </c:pt>
                <c:pt idx="203">
                  <c:v>2.7719455239810363E-6</c:v>
                </c:pt>
                <c:pt idx="204">
                  <c:v>2.7129058588899802E-6</c:v>
                </c:pt>
                <c:pt idx="205">
                  <c:v>2.7129058588899802E-6</c:v>
                </c:pt>
                <c:pt idx="206">
                  <c:v>2.6538546439785086E-6</c:v>
                </c:pt>
                <c:pt idx="207">
                  <c:v>2.6538546439785086E-6</c:v>
                </c:pt>
                <c:pt idx="208">
                  <c:v>2.5948021420779923E-6</c:v>
                </c:pt>
                <c:pt idx="209">
                  <c:v>2.5948021420779923E-6</c:v>
                </c:pt>
                <c:pt idx="210">
                  <c:v>2.5357509271665206E-6</c:v>
                </c:pt>
                <c:pt idx="211">
                  <c:v>2.5357509271665206E-6</c:v>
                </c:pt>
                <c:pt idx="212">
                  <c:v>2.4767112620754646E-6</c:v>
                </c:pt>
                <c:pt idx="213">
                  <c:v>2.4767112620754646E-6</c:v>
                </c:pt>
                <c:pt idx="214">
                  <c:v>2.4177216495460447E-6</c:v>
                </c:pt>
                <c:pt idx="215">
                  <c:v>2.4177216495460447E-6</c:v>
                </c:pt>
                <c:pt idx="216">
                  <c:v>2.3588765320252361E-6</c:v>
                </c:pt>
                <c:pt idx="217">
                  <c:v>2.3588765320252361E-6</c:v>
                </c:pt>
                <c:pt idx="218">
                  <c:v>2.3003722402607203E-6</c:v>
                </c:pt>
                <c:pt idx="219">
                  <c:v>2.3003722402607203E-6</c:v>
                </c:pt>
                <c:pt idx="220">
                  <c:v>2.242591889955474E-6</c:v>
                </c:pt>
                <c:pt idx="221">
                  <c:v>2.242591889955474E-6</c:v>
                </c:pt>
                <c:pt idx="222">
                  <c:v>2.1862772070798898E-6</c:v>
                </c:pt>
                <c:pt idx="223">
                  <c:v>2.1862772070798898E-6</c:v>
                </c:pt>
                <c:pt idx="224">
                  <c:v>2.1329160728626156E-6</c:v>
                </c:pt>
                <c:pt idx="225">
                  <c:v>2.1329160728626156E-6</c:v>
                </c:pt>
                <c:pt idx="226">
                  <c:v>2.0857586118719437E-6</c:v>
                </c:pt>
                <c:pt idx="227">
                  <c:v>2.0857586118719437E-6</c:v>
                </c:pt>
                <c:pt idx="228">
                  <c:v>2.0531609165827885E-6</c:v>
                </c:pt>
                <c:pt idx="229">
                  <c:v>2.0531609165827885E-6</c:v>
                </c:pt>
                <c:pt idx="230">
                  <c:v>2.048656786056501E-6</c:v>
                </c:pt>
                <c:pt idx="231">
                  <c:v>2.048656786056501E-6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  <c:pt idx="319">
                  <c:v>0.19954661528600001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4.8500302464922812E-9</c:v>
                </c:pt>
                <c:pt idx="1">
                  <c:v>5.0468156354875409E-9</c:v>
                </c:pt>
                <c:pt idx="2">
                  <c:v>5.2515710281338389E-9</c:v>
                </c:pt>
                <c:pt idx="3">
                  <c:v>5.4646158019361374E-9</c:v>
                </c:pt>
                <c:pt idx="4">
                  <c:v>5.6862815119496513E-9</c:v>
                </c:pt>
                <c:pt idx="5">
                  <c:v>5.916911769435717E-9</c:v>
                </c:pt>
                <c:pt idx="6">
                  <c:v>6.1568619911888928E-9</c:v>
                </c:pt>
                <c:pt idx="7">
                  <c:v>6.4064990226155231E-9</c:v>
                </c:pt>
                <c:pt idx="8">
                  <c:v>6.6662002935429637E-9</c:v>
                </c:pt>
                <c:pt idx="9">
                  <c:v>6.9363521217662658E-9</c:v>
                </c:pt>
                <c:pt idx="10">
                  <c:v>7.217346500748317E-9</c:v>
                </c:pt>
                <c:pt idx="11">
                  <c:v>7.5095750724088407E-9</c:v>
                </c:pt>
                <c:pt idx="12">
                  <c:v>7.8134174023055502E-9</c:v>
                </c:pt>
                <c:pt idx="13">
                  <c:v>8.1292164131084526E-9</c:v>
                </c:pt>
                <c:pt idx="14">
                  <c:v>8.4572186785296697E-9</c:v>
                </c:pt>
                <c:pt idx="15">
                  <c:v>8.7960386682004696E-9</c:v>
                </c:pt>
                <c:pt idx="16">
                  <c:v>9.1320884870329732E-9</c:v>
                </c:pt>
                <c:pt idx="17">
                  <c:v>9.389395081431591E-9</c:v>
                </c:pt>
                <c:pt idx="18">
                  <c:v>9.3419916155714161E-9</c:v>
                </c:pt>
                <c:pt idx="19">
                  <c:v>8.6962277012464888E-9</c:v>
                </c:pt>
                <c:pt idx="20">
                  <c:v>7.4936029821959944E-9</c:v>
                </c:pt>
                <c:pt idx="21">
                  <c:v>6.2433522979730839E-9</c:v>
                </c:pt>
                <c:pt idx="22">
                  <c:v>5.3930115084857723E-9</c:v>
                </c:pt>
                <c:pt idx="23">
                  <c:v>4.9624307360245586E-9</c:v>
                </c:pt>
                <c:pt idx="24">
                  <c:v>4.7580480964967122E-9</c:v>
                </c:pt>
                <c:pt idx="25">
                  <c:v>4.6305614083663589E-9</c:v>
                </c:pt>
                <c:pt idx="26">
                  <c:v>4.5149592169303734E-9</c:v>
                </c:pt>
                <c:pt idx="27">
                  <c:v>4.3865997926166955E-9</c:v>
                </c:pt>
                <c:pt idx="28">
                  <c:v>4.2375166631781082E-9</c:v>
                </c:pt>
                <c:pt idx="29">
                  <c:v>4.0649070848931935E-9</c:v>
                </c:pt>
                <c:pt idx="30">
                  <c:v>3.8687008232407067E-9</c:v>
                </c:pt>
                <c:pt idx="31">
                  <c:v>3.6506119077136737E-9</c:v>
                </c:pt>
                <c:pt idx="32">
                  <c:v>3.4137215442907491E-9</c:v>
                </c:pt>
                <c:pt idx="33">
                  <c:v>3.1622310627960606E-9</c:v>
                </c:pt>
                <c:pt idx="34">
                  <c:v>2.9012525282265769E-9</c:v>
                </c:pt>
                <c:pt idx="35">
                  <c:v>2.636583571172622E-9</c:v>
                </c:pt>
                <c:pt idx="36">
                  <c:v>2.3744483658032816E-9</c:v>
                </c:pt>
                <c:pt idx="37">
                  <c:v>2.1212063619060846E-9</c:v>
                </c:pt>
                <c:pt idx="38">
                  <c:v>1.8830426127096158E-9</c:v>
                </c:pt>
                <c:pt idx="39">
                  <c:v>1.6656606481127717E-9</c:v>
                </c:pt>
                <c:pt idx="40">
                  <c:v>1.4740013938311777E-9</c:v>
                </c:pt>
                <c:pt idx="41">
                  <c:v>1.3120099667676284E-9</c:v>
                </c:pt>
                <c:pt idx="42">
                  <c:v>1.1824670367713794E-9</c:v>
                </c:pt>
                <c:pt idx="43">
                  <c:v>1.086894063385908E-9</c:v>
                </c:pt>
                <c:pt idx="44">
                  <c:v>1.025246856715077E-9</c:v>
                </c:pt>
                <c:pt idx="45">
                  <c:v>9.9718095287061633E-10</c:v>
                </c:pt>
                <c:pt idx="46">
                  <c:v>1.0002237245747215E-9</c:v>
                </c:pt>
                <c:pt idx="47">
                  <c:v>1.0312882794175845E-9</c:v>
                </c:pt>
                <c:pt idx="48">
                  <c:v>1.0864886028612982E-9</c:v>
                </c:pt>
                <c:pt idx="49">
                  <c:v>1.1613274795809337E-9</c:v>
                </c:pt>
                <c:pt idx="50">
                  <c:v>1.2508855044441174E-9</c:v>
                </c:pt>
                <c:pt idx="51">
                  <c:v>1.3500030330889744E-9</c:v>
                </c:pt>
                <c:pt idx="52">
                  <c:v>1.4534502193975889E-9</c:v>
                </c:pt>
                <c:pt idx="53">
                  <c:v>1.5560831010897788E-9</c:v>
                </c:pt>
                <c:pt idx="54">
                  <c:v>1.6529857700696654E-9</c:v>
                </c:pt>
                <c:pt idx="55">
                  <c:v>1.7395998835630068E-9</c:v>
                </c:pt>
                <c:pt idx="56">
                  <c:v>1.8118431852135276E-9</c:v>
                </c:pt>
                <c:pt idx="57">
                  <c:v>1.8662183984115817E-9</c:v>
                </c:pt>
                <c:pt idx="58">
                  <c:v>1.8999129872985106E-9</c:v>
                </c:pt>
                <c:pt idx="59">
                  <c:v>1.9108890249073974E-9</c:v>
                </c:pt>
                <c:pt idx="60">
                  <c:v>1.8979609405677958E-9</c:v>
                </c:pt>
                <c:pt idx="61">
                  <c:v>1.8608574403052254E-9</c:v>
                </c:pt>
                <c:pt idx="62">
                  <c:v>1.8002626038896952E-9</c:v>
                </c:pt>
                <c:pt idx="63">
                  <c:v>1.7178302713101029E-9</c:v>
                </c:pt>
                <c:pt idx="64">
                  <c:v>1.61616554023292E-9</c:v>
                </c:pt>
                <c:pt idx="65">
                  <c:v>1.4987676778546235E-9</c:v>
                </c:pt>
                <c:pt idx="66">
                  <c:v>1.3699301250679581E-9</c:v>
                </c:pt>
                <c:pt idx="67">
                  <c:v>1.2345955501190576E-9</c:v>
                </c:pt>
                <c:pt idx="68">
                  <c:v>1.0981670051944602E-9</c:v>
                </c:pt>
                <c:pt idx="69">
                  <c:v>9.66279911647942E-10</c:v>
                </c:pt>
                <c:pt idx="70">
                  <c:v>8.4454348789583688E-10</c:v>
                </c:pt>
                <c:pt idx="71">
                  <c:v>7.3826388963097266E-10</c:v>
                </c:pt>
                <c:pt idx="72">
                  <c:v>6.5216427053058254E-10</c:v>
                </c:pt>
                <c:pt idx="73">
                  <c:v>5.9011878139794275E-10</c:v>
                </c:pt>
                <c:pt idx="74">
                  <c:v>5.5491790171493963E-10</c:v>
                </c:pt>
                <c:pt idx="75">
                  <c:v>5.4808134561746988E-10</c:v>
                </c:pt>
                <c:pt idx="76">
                  <c:v>5.6973221647132332E-10</c:v>
                </c:pt>
                <c:pt idx="77">
                  <c:v>6.1854239956448636E-10</c:v>
                </c:pt>
                <c:pt idx="78">
                  <c:v>6.9175481571714921E-10</c:v>
                </c:pt>
                <c:pt idx="79">
                  <c:v>7.8528358415030079E-10</c:v>
                </c:pt>
                <c:pt idx="80">
                  <c:v>8.9388878374062607E-10</c:v>
                </c:pt>
                <c:pt idx="81">
                  <c:v>1.011418667596974E-9</c:v>
                </c:pt>
                <c:pt idx="82">
                  <c:v>1.1311090168192869E-9</c:v>
                </c:pt>
                <c:pt idx="83">
                  <c:v>1.2459268075013586E-9</c:v>
                </c:pt>
                <c:pt idx="84">
                  <c:v>1.3489433743604189E-9</c:v>
                </c:pt>
                <c:pt idx="85">
                  <c:v>1.4337206018108372E-9</c:v>
                </c:pt>
                <c:pt idx="86">
                  <c:v>1.4946921920307385E-9</c:v>
                </c:pt>
                <c:pt idx="87">
                  <c:v>1.5275206798807975E-9</c:v>
                </c:pt>
                <c:pt idx="88">
                  <c:v>1.5294096716006567E-9</c:v>
                </c:pt>
                <c:pt idx="89">
                  <c:v>1.4993500273416222E-9</c:v>
                </c:pt>
                <c:pt idx="90">
                  <c:v>1.4382788157328743E-9</c:v>
                </c:pt>
                <c:pt idx="91">
                  <c:v>1.3491313650318227E-9</c:v>
                </c:pt>
                <c:pt idx="92">
                  <c:v>1.2367701650842565E-9</c:v>
                </c:pt>
                <c:pt idx="93">
                  <c:v>1.1077801547643555E-9</c:v>
                </c:pt>
                <c:pt idx="94">
                  <c:v>9.7012821604881978E-10</c:v>
                </c:pt>
                <c:pt idx="95">
                  <c:v>8.3269524945495132E-10</c:v>
                </c:pt>
                <c:pt idx="96">
                  <c:v>7.0470129943648285E-10</c:v>
                </c:pt>
                <c:pt idx="97">
                  <c:v>5.9505666803452329E-10</c:v>
                </c:pt>
                <c:pt idx="98">
                  <c:v>5.116832610812609E-10</c:v>
                </c:pt>
                <c:pt idx="99">
                  <c:v>4.6085891423036151E-10</c:v>
                </c:pt>
                <c:pt idx="100">
                  <c:v>4.4664165431367615E-10</c:v>
                </c:pt>
                <c:pt idx="101">
                  <c:v>4.7042972712196385E-10</c:v>
                </c:pt>
                <c:pt idx="102">
                  <c:v>5.3070638784937452E-10</c:v>
                </c:pt>
                <c:pt idx="103">
                  <c:v>6.2300626202174232E-10</c:v>
                </c:pt>
                <c:pt idx="104">
                  <c:v>7.4012356740133808E-10</c:v>
                </c:pt>
                <c:pt idx="105">
                  <c:v>8.7256310959531598E-10</c:v>
                </c:pt>
                <c:pt idx="106">
                  <c:v>1.0092143855550196E-9</c:v>
                </c:pt>
                <c:pt idx="107">
                  <c:v>1.1382089310690484E-9</c:v>
                </c:pt>
                <c:pt idx="108">
                  <c:v>1.2479026150404799E-9</c:v>
                </c:pt>
                <c:pt idx="109">
                  <c:v>1.327909059214434E-9</c:v>
                </c:pt>
                <c:pt idx="110">
                  <c:v>1.3700988044646138E-9</c:v>
                </c:pt>
                <c:pt idx="111">
                  <c:v>1.3694723504054576E-9</c:v>
                </c:pt>
                <c:pt idx="112">
                  <c:v>1.3248150661599376E-9</c:v>
                </c:pt>
                <c:pt idx="113">
                  <c:v>1.2390496622619669E-9</c:v>
                </c:pt>
                <c:pt idx="114">
                  <c:v>1.1192188170764944E-9</c:v>
                </c:pt>
                <c:pt idx="115">
                  <c:v>9.760575228536949E-10</c:v>
                </c:pt>
                <c:pt idx="116">
                  <c:v>8.2315148164644611E-10</c:v>
                </c:pt>
                <c:pt idx="117">
                  <c:v>6.7572244474532707E-10</c:v>
                </c:pt>
                <c:pt idx="118">
                  <c:v>5.4912971116437737E-10</c:v>
                </c:pt>
                <c:pt idx="119">
                  <c:v>4.5722310720087705E-10</c:v>
                </c:pt>
                <c:pt idx="120">
                  <c:v>4.1071945441229542E-10</c:v>
                </c:pt>
                <c:pt idx="121">
                  <c:v>4.1579457658364848E-10</c:v>
                </c:pt>
                <c:pt idx="122">
                  <c:v>4.730805174914372E-10</c:v>
                </c:pt>
                <c:pt idx="123">
                  <c:v>5.7722989504972237E-10</c:v>
                </c:pt>
                <c:pt idx="124">
                  <c:v>7.1715689286455214E-10</c:v>
                </c:pt>
                <c:pt idx="125">
                  <c:v>8.7699172842784072E-10</c:v>
                </c:pt>
                <c:pt idx="126">
                  <c:v>1.0377000642656063E-9</c:v>
                </c:pt>
                <c:pt idx="127">
                  <c:v>1.1792302467421158E-9</c:v>
                </c:pt>
                <c:pt idx="128">
                  <c:v>1.2829697817455658E-9</c:v>
                </c:pt>
                <c:pt idx="129">
                  <c:v>1.3342282881809358E-9</c:v>
                </c:pt>
                <c:pt idx="130">
                  <c:v>1.324426852538906E-9</c:v>
                </c:pt>
                <c:pt idx="131">
                  <c:v>1.2526716589086685E-9</c:v>
                </c:pt>
                <c:pt idx="132">
                  <c:v>1.1264295598812081E-9</c:v>
                </c:pt>
                <c:pt idx="133">
                  <c:v>9.6110820829185786E-10</c:v>
                </c:pt>
                <c:pt idx="134">
                  <c:v>7.7847149197240971E-10</c:v>
                </c:pt>
                <c:pt idx="135">
                  <c:v>6.0398273318872665E-10</c:v>
                </c:pt>
                <c:pt idx="136">
                  <c:v>4.6334488990075062E-10</c:v>
                </c:pt>
                <c:pt idx="137">
                  <c:v>3.7867188655262516E-10</c:v>
                </c:pt>
                <c:pt idx="138">
                  <c:v>3.6484633369351423E-10</c:v>
                </c:pt>
                <c:pt idx="139">
                  <c:v>4.2666552842409828E-10</c:v>
                </c:pt>
                <c:pt idx="140">
                  <c:v>5.5732768888395006E-10</c:v>
                </c:pt>
                <c:pt idx="141">
                  <c:v>7.3865712918619184E-10</c:v>
                </c:pt>
                <c:pt idx="142">
                  <c:v>9.4322288740670092E-10</c:v>
                </c:pt>
                <c:pt idx="143">
                  <c:v>1.1382012017094279E-9</c:v>
                </c:pt>
                <c:pt idx="144">
                  <c:v>1.290513538478053E-9</c:v>
                </c:pt>
                <c:pt idx="145">
                  <c:v>1.3724915999665893E-9</c:v>
                </c:pt>
                <c:pt idx="146">
                  <c:v>1.3671321068351941E-9</c:v>
                </c:pt>
                <c:pt idx="147">
                  <c:v>1.2719535243307667E-9</c:v>
                </c:pt>
                <c:pt idx="148">
                  <c:v>1.1005866015691903E-9</c:v>
                </c:pt>
                <c:pt idx="149">
                  <c:v>8.8177163642275002E-10</c:v>
                </c:pt>
                <c:pt idx="150">
                  <c:v>6.5409337170748885E-10</c:v>
                </c:pt>
                <c:pt idx="151">
                  <c:v>4.6108865658756087E-10</c:v>
                </c:pt>
                <c:pt idx="152">
                  <c:v>3.4185730844048005E-10</c:v>
                </c:pt>
                <c:pt idx="153">
                  <c:v>3.2325485665592001E-10</c:v>
                </c:pt>
                <c:pt idx="154">
                  <c:v>4.1346293109365045E-10</c:v>
                </c:pt>
                <c:pt idx="155">
                  <c:v>5.9881546253438146E-10</c:v>
                </c:pt>
                <c:pt idx="156">
                  <c:v>8.4494417178194158E-10</c:v>
                </c:pt>
                <c:pt idx="157">
                  <c:v>1.1024970936111415E-9</c:v>
                </c:pt>
                <c:pt idx="158">
                  <c:v>1.3166971643922283E-9</c:v>
                </c:pt>
                <c:pt idx="159">
                  <c:v>1.4390439717885729E-9</c:v>
                </c:pt>
                <c:pt idx="160">
                  <c:v>1.438745009290592E-9</c:v>
                </c:pt>
                <c:pt idx="161">
                  <c:v>1.3111975190572975E-9</c:v>
                </c:pt>
                <c:pt idx="162">
                  <c:v>1.0811669807088817E-9</c:v>
                </c:pt>
                <c:pt idx="163">
                  <c:v>7.9925389295482312E-10</c:v>
                </c:pt>
                <c:pt idx="164">
                  <c:v>5.3169412089789959E-10</c:v>
                </c:pt>
                <c:pt idx="165">
                  <c:v>3.4523024715035662E-10</c:v>
                </c:pt>
                <c:pt idx="166">
                  <c:v>2.9032112635036696E-10</c:v>
                </c:pt>
                <c:pt idx="167">
                  <c:v>3.8687093697256919E-10</c:v>
                </c:pt>
                <c:pt idx="168">
                  <c:v>6.1657889183568942E-10</c:v>
                </c:pt>
                <c:pt idx="169">
                  <c:v>9.2477314247593069E-10</c:v>
                </c:pt>
                <c:pt idx="170">
                  <c:v>1.2323499233693015E-9</c:v>
                </c:pt>
                <c:pt idx="171">
                  <c:v>1.4556732763214423E-9</c:v>
                </c:pt>
                <c:pt idx="172">
                  <c:v>1.5297216102024947E-9</c:v>
                </c:pt>
                <c:pt idx="173">
                  <c:v>1.428179167631348E-9</c:v>
                </c:pt>
                <c:pt idx="174">
                  <c:v>1.1741983933867465E-9</c:v>
                </c:pt>
                <c:pt idx="175">
                  <c:v>8.3748147013408589E-10</c:v>
                </c:pt>
                <c:pt idx="176">
                  <c:v>5.1690822023544182E-10</c:v>
                </c:pt>
                <c:pt idx="177">
                  <c:v>3.1236210957147984E-10</c:v>
                </c:pt>
                <c:pt idx="178">
                  <c:v>2.9339977573248939E-10</c:v>
                </c:pt>
                <c:pt idx="179">
                  <c:v>4.7454558169809192E-10</c:v>
                </c:pt>
                <c:pt idx="180">
                  <c:v>8.0617677981117083E-10</c:v>
                </c:pt>
                <c:pt idx="181">
                  <c:v>1.1859320053056135E-9</c:v>
                </c:pt>
                <c:pt idx="182">
                  <c:v>1.4891801791351967E-9</c:v>
                </c:pt>
                <c:pt idx="183">
                  <c:v>1.6102077466647431E-9</c:v>
                </c:pt>
                <c:pt idx="184">
                  <c:v>1.5008186129235253E-9</c:v>
                </c:pt>
                <c:pt idx="185">
                  <c:v>1.1921317026408796E-9</c:v>
                </c:pt>
                <c:pt idx="186">
                  <c:v>7.8955903517878253E-10</c:v>
                </c:pt>
                <c:pt idx="187">
                  <c:v>4.3960479907894772E-10</c:v>
                </c:pt>
                <c:pt idx="188">
                  <c:v>2.7773946961081228E-10</c:v>
                </c:pt>
                <c:pt idx="189">
                  <c:v>3.7533596309044268E-10</c:v>
                </c:pt>
                <c:pt idx="190">
                  <c:v>7.065902815915124E-10</c:v>
                </c:pt>
                <c:pt idx="191">
                  <c:v>1.1511707356691822E-9</c:v>
                </c:pt>
                <c:pt idx="192">
                  <c:v>1.5357505115064741E-9</c:v>
                </c:pt>
                <c:pt idx="193">
                  <c:v>1.70165858819911E-9</c:v>
                </c:pt>
                <c:pt idx="194">
                  <c:v>1.5729602357243838E-9</c:v>
                </c:pt>
                <c:pt idx="195">
                  <c:v>1.1955472666884471E-9</c:v>
                </c:pt>
                <c:pt idx="196">
                  <c:v>7.2609232349164839E-10</c:v>
                </c:pt>
                <c:pt idx="197">
                  <c:v>3.7233575326066627E-10</c:v>
                </c:pt>
                <c:pt idx="198">
                  <c:v>3.0100072211193696E-10</c:v>
                </c:pt>
                <c:pt idx="199">
                  <c:v>5.5823819403758182E-10</c:v>
                </c:pt>
                <c:pt idx="200">
                  <c:v>1.0385089343662782E-9</c:v>
                </c:pt>
                <c:pt idx="201">
                  <c:v>1.5236301982020029E-9</c:v>
                </c:pt>
                <c:pt idx="202">
                  <c:v>1.7808337252223311E-9</c:v>
                </c:pt>
                <c:pt idx="203">
                  <c:v>1.677522011003462E-9</c:v>
                </c:pt>
                <c:pt idx="204">
                  <c:v>1.2560864141765558E-9</c:v>
                </c:pt>
                <c:pt idx="205">
                  <c:v>7.2525413394210152E-10</c:v>
                </c:pt>
                <c:pt idx="206">
                  <c:v>3.628288147196378E-10</c:v>
                </c:pt>
                <c:pt idx="207">
                  <c:v>3.7199330282834961E-10</c:v>
                </c:pt>
                <c:pt idx="208">
                  <c:v>7.6479200757368918E-10</c:v>
                </c:pt>
                <c:pt idx="209">
                  <c:v>1.3411889476030983E-9</c:v>
                </c:pt>
                <c:pt idx="210">
                  <c:v>1.7866213556055706E-9</c:v>
                </c:pt>
                <c:pt idx="211">
                  <c:v>1.8449669760506943E-9</c:v>
                </c:pt>
                <c:pt idx="212">
                  <c:v>1.4733249110105577E-9</c:v>
                </c:pt>
                <c:pt idx="213">
                  <c:v>8.8343328664671763E-10</c:v>
                </c:pt>
                <c:pt idx="214">
                  <c:v>4.3143424885189057E-10</c:v>
                </c:pt>
                <c:pt idx="215">
                  <c:v>4.0749798734893921E-10</c:v>
                </c:pt>
                <c:pt idx="216">
                  <c:v>8.4763689180871631E-10</c:v>
                </c:pt>
                <c:pt idx="217">
                  <c:v>1.4920159605094053E-9</c:v>
                </c:pt>
                <c:pt idx="218">
                  <c:v>1.9336898085122842E-9</c:v>
                </c:pt>
                <c:pt idx="219">
                  <c:v>1.8792968797704868E-9</c:v>
                </c:pt>
                <c:pt idx="220">
                  <c:v>1.356235572802636E-9</c:v>
                </c:pt>
                <c:pt idx="221">
                  <c:v>7.1645343915064574E-10</c:v>
                </c:pt>
                <c:pt idx="222">
                  <c:v>4.1167917254527367E-10</c:v>
                </c:pt>
                <c:pt idx="223">
                  <c:v>6.7681928693453543E-10</c:v>
                </c:pt>
                <c:pt idx="224">
                  <c:v>1.3436754730083489E-9</c:v>
                </c:pt>
                <c:pt idx="225">
                  <c:v>1.9382711957520513E-9</c:v>
                </c:pt>
                <c:pt idx="226">
                  <c:v>2.0184571834924222E-9</c:v>
                </c:pt>
                <c:pt idx="227">
                  <c:v>1.5164126597139297E-9</c:v>
                </c:pt>
                <c:pt idx="228">
                  <c:v>8.168449895506228E-10</c:v>
                </c:pt>
                <c:pt idx="229">
                  <c:v>4.8004702421854417E-10</c:v>
                </c:pt>
                <c:pt idx="230">
                  <c:v>7.9821409380446523E-10</c:v>
                </c:pt>
                <c:pt idx="231">
                  <c:v>1.5361798699021844E-9</c:v>
                </c:pt>
                <c:pt idx="232">
                  <c:v>2.0952681586754063E-9</c:v>
                </c:pt>
                <c:pt idx="233">
                  <c:v>2.0032462941020324E-9</c:v>
                </c:pt>
                <c:pt idx="234">
                  <c:v>1.3347581194688714E-9</c:v>
                </c:pt>
                <c:pt idx="235">
                  <c:v>6.8004040815019495E-10</c:v>
                </c:pt>
                <c:pt idx="236">
                  <c:v>6.4391586039098568E-10</c:v>
                </c:pt>
                <c:pt idx="237">
                  <c:v>1.289970490048103E-9</c:v>
                </c:pt>
                <c:pt idx="238">
                  <c:v>2.0469706622641683E-9</c:v>
                </c:pt>
                <c:pt idx="239">
                  <c:v>2.2135811716368425E-9</c:v>
                </c:pt>
                <c:pt idx="240">
                  <c:v>1.6298565951792633E-9</c:v>
                </c:pt>
                <c:pt idx="241">
                  <c:v>8.6716182087675734E-10</c:v>
                </c:pt>
                <c:pt idx="242">
                  <c:v>6.9806329138411598E-10</c:v>
                </c:pt>
                <c:pt idx="243">
                  <c:v>1.3196668042452275E-9</c:v>
                </c:pt>
                <c:pt idx="244">
                  <c:v>2.1166414078152726E-9</c:v>
                </c:pt>
                <c:pt idx="245">
                  <c:v>2.2665575607667654E-9</c:v>
                </c:pt>
                <c:pt idx="246">
                  <c:v>1.6131588605717803E-9</c:v>
                </c:pt>
                <c:pt idx="247">
                  <c:v>8.7339642687139636E-10</c:v>
                </c:pt>
                <c:pt idx="248">
                  <c:v>8.8552093408590895E-10</c:v>
                </c:pt>
                <c:pt idx="249">
                  <c:v>1.6655336047229418E-9</c:v>
                </c:pt>
                <c:pt idx="250">
                  <c:v>2.3460517687497604E-9</c:v>
                </c:pt>
                <c:pt idx="251">
                  <c:v>2.1486316701336431E-9</c:v>
                </c:pt>
                <c:pt idx="252">
                  <c:v>1.3175743707439148E-9</c:v>
                </c:pt>
                <c:pt idx="253">
                  <c:v>8.7501632552170551E-10</c:v>
                </c:pt>
                <c:pt idx="254">
                  <c:v>1.3975894708243112E-9</c:v>
                </c:pt>
                <c:pt idx="255">
                  <c:v>2.2701755437619997E-9</c:v>
                </c:pt>
                <c:pt idx="256">
                  <c:v>2.4125957933023141E-9</c:v>
                </c:pt>
                <c:pt idx="257">
                  <c:v>1.657656050232878E-9</c:v>
                </c:pt>
                <c:pt idx="258">
                  <c:v>1.0121238922952856E-9</c:v>
                </c:pt>
                <c:pt idx="259">
                  <c:v>1.3593141047022273E-9</c:v>
                </c:pt>
                <c:pt idx="260">
                  <c:v>2.2520464200109933E-9</c:v>
                </c:pt>
                <c:pt idx="261">
                  <c:v>2.4794898353785392E-9</c:v>
                </c:pt>
                <c:pt idx="262">
                  <c:v>1.7429969608650305E-9</c:v>
                </c:pt>
                <c:pt idx="263">
                  <c:v>1.1183699738835137E-9</c:v>
                </c:pt>
                <c:pt idx="264">
                  <c:v>1.5402524215677856E-9</c:v>
                </c:pt>
                <c:pt idx="265">
                  <c:v>2.4135427540030959E-9</c:v>
                </c:pt>
                <c:pt idx="266">
                  <c:v>2.4551869144205667E-9</c:v>
                </c:pt>
                <c:pt idx="267">
                  <c:v>1.6332296748530752E-9</c:v>
                </c:pt>
                <c:pt idx="268">
                  <c:v>1.2586197911932929E-9</c:v>
                </c:pt>
                <c:pt idx="269">
                  <c:v>1.9582134612574023E-9</c:v>
                </c:pt>
                <c:pt idx="270">
                  <c:v>2.646111857236407E-9</c:v>
                </c:pt>
                <c:pt idx="271">
                  <c:v>2.2386151316284844E-9</c:v>
                </c:pt>
                <c:pt idx="272">
                  <c:v>1.4442299568383874E-9</c:v>
                </c:pt>
                <c:pt idx="273">
                  <c:v>1.6203311342521422E-9</c:v>
                </c:pt>
                <c:pt idx="274">
                  <c:v>2.4768648522559076E-9</c:v>
                </c:pt>
                <c:pt idx="275">
                  <c:v>2.5464222232688386E-9</c:v>
                </c:pt>
                <c:pt idx="276">
                  <c:v>1.7434942376659265E-9</c:v>
                </c:pt>
                <c:pt idx="277">
                  <c:v>1.5419571598456939E-9</c:v>
                </c:pt>
                <c:pt idx="278">
                  <c:v>2.3259884430478824E-9</c:v>
                </c:pt>
                <c:pt idx="279">
                  <c:v>2.6654674949719635E-9</c:v>
                </c:pt>
                <c:pt idx="280">
                  <c:v>1.9677241634137093E-9</c:v>
                </c:pt>
                <c:pt idx="281">
                  <c:v>1.6156361430855946E-9</c:v>
                </c:pt>
                <c:pt idx="282">
                  <c:v>2.3229400190058293E-9</c:v>
                </c:pt>
                <c:pt idx="283">
                  <c:v>2.7262059213367241E-9</c:v>
                </c:pt>
                <c:pt idx="284">
                  <c:v>2.0678123670984193E-9</c:v>
                </c:pt>
                <c:pt idx="285">
                  <c:v>1.722057651157453E-9</c:v>
                </c:pt>
                <c:pt idx="286">
                  <c:v>2.4003901610153631E-9</c:v>
                </c:pt>
                <c:pt idx="287">
                  <c:v>2.6834451697711821E-9</c:v>
                </c:pt>
                <c:pt idx="288">
                  <c:v>2.0069257684117787E-9</c:v>
                </c:pt>
                <c:pt idx="289">
                  <c:v>1.8588907124171076E-9</c:v>
                </c:pt>
                <c:pt idx="290">
                  <c:v>2.5530470835802526E-9</c:v>
                </c:pt>
                <c:pt idx="291">
                  <c:v>2.5541661026743685E-9</c:v>
                </c:pt>
                <c:pt idx="292">
                  <c:v>1.9111228765186751E-9</c:v>
                </c:pt>
                <c:pt idx="293">
                  <c:v>2.1289896872316492E-9</c:v>
                </c:pt>
                <c:pt idx="294">
                  <c:v>2.7070106647522008E-9</c:v>
                </c:pt>
                <c:pt idx="295">
                  <c:v>2.31849228569614E-9</c:v>
                </c:pt>
                <c:pt idx="296">
                  <c:v>1.9292010884254042E-9</c:v>
                </c:pt>
                <c:pt idx="297">
                  <c:v>2.4602936412394661E-9</c:v>
                </c:pt>
                <c:pt idx="298">
                  <c:v>2.5816819597439154E-9</c:v>
                </c:pt>
                <c:pt idx="299">
                  <c:v>2.0114662810471299E-9</c:v>
                </c:pt>
                <c:pt idx="300">
                  <c:v>2.1776924780803326E-9</c:v>
                </c:pt>
                <c:pt idx="301">
                  <c:v>2.6019142083832739E-9</c:v>
                </c:pt>
                <c:pt idx="302">
                  <c:v>2.1850908770697658E-9</c:v>
                </c:pt>
                <c:pt idx="303">
                  <c:v>2.0486904364142504E-9</c:v>
                </c:pt>
                <c:pt idx="304">
                  <c:v>2.5344411417243592E-9</c:v>
                </c:pt>
                <c:pt idx="305">
                  <c:v>2.3279254389892384E-9</c:v>
                </c:pt>
                <c:pt idx="306">
                  <c:v>2.0104964550743698E-9</c:v>
                </c:pt>
                <c:pt idx="307">
                  <c:v>2.4109779091330637E-9</c:v>
                </c:pt>
                <c:pt idx="308">
                  <c:v>2.3502109248191003E-9</c:v>
                </c:pt>
                <c:pt idx="309">
                  <c:v>1.9819797362654854E-9</c:v>
                </c:pt>
                <c:pt idx="310">
                  <c:v>2.2879963587506015E-9</c:v>
                </c:pt>
                <c:pt idx="311">
                  <c:v>2.2881225917772851E-9</c:v>
                </c:pt>
                <c:pt idx="312">
                  <c:v>1.9543777296306287E-9</c:v>
                </c:pt>
                <c:pt idx="313">
                  <c:v>2.2231007031259136E-9</c:v>
                </c:pt>
                <c:pt idx="314">
                  <c:v>2.2105135924007719E-9</c:v>
                </c:pt>
                <c:pt idx="315">
                  <c:v>1.9234396132695234E-9</c:v>
                </c:pt>
                <c:pt idx="316">
                  <c:v>2.1681772007044045E-9</c:v>
                </c:pt>
                <c:pt idx="317">
                  <c:v>2.0860390533779592E-9</c:v>
                </c:pt>
                <c:pt idx="318">
                  <c:v>1.8721847565295134E-9</c:v>
                </c:pt>
                <c:pt idx="319">
                  <c:v>2.0883610667309851E-9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5.6682629261330386E-10</c:v>
                  </c:pt>
                  <c:pt idx="1">
                    <c:v>5.160220712515903E-10</c:v>
                  </c:pt>
                  <c:pt idx="2">
                    <c:v>5.3239116406212026E-10</c:v>
                  </c:pt>
                  <c:pt idx="3">
                    <c:v>4.9946151406808827E-10</c:v>
                  </c:pt>
                  <c:pt idx="4">
                    <c:v>5.071020566546224E-10</c:v>
                  </c:pt>
                  <c:pt idx="5">
                    <c:v>5.1409719380975196E-10</c:v>
                  </c:pt>
                  <c:pt idx="6">
                    <c:v>5.1524654238263911E-10</c:v>
                  </c:pt>
                  <c:pt idx="7">
                    <c:v>5.459072096276887E-10</c:v>
                  </c:pt>
                  <c:pt idx="8">
                    <c:v>5.3013219494707995E-10</c:v>
                  </c:pt>
                  <c:pt idx="9">
                    <c:v>5.2423709380729502E-10</c:v>
                  </c:pt>
                  <c:pt idx="10">
                    <c:v>4.6581241764493273E-10</c:v>
                  </c:pt>
                  <c:pt idx="11">
                    <c:v>5.3205825878942223E-10</c:v>
                  </c:pt>
                  <c:pt idx="12">
                    <c:v>5.52709187751904E-10</c:v>
                  </c:pt>
                  <c:pt idx="13">
                    <c:v>5.3950944798893405E-10</c:v>
                  </c:pt>
                  <c:pt idx="14">
                    <c:v>5.442217590133646E-10</c:v>
                  </c:pt>
                  <c:pt idx="15">
                    <c:v>5.1107534092865963E-10</c:v>
                  </c:pt>
                  <c:pt idx="16">
                    <c:v>4.1139940568843583E-10</c:v>
                  </c:pt>
                  <c:pt idx="17">
                    <c:v>3.9979547806631144E-10</c:v>
                  </c:pt>
                  <c:pt idx="18">
                    <c:v>3.9610185008790699E-10</c:v>
                  </c:pt>
                  <c:pt idx="19">
                    <c:v>3.7861250714851716E-10</c:v>
                  </c:pt>
                  <c:pt idx="20">
                    <c:v>3.4911661819637891E-10</c:v>
                  </c:pt>
                  <c:pt idx="21">
                    <c:v>4.5620418340165169E-10</c:v>
                  </c:pt>
                  <c:pt idx="22">
                    <c:v>4.2308369245058429E-10</c:v>
                  </c:pt>
                  <c:pt idx="23">
                    <c:v>4.0079715044651062E-10</c:v>
                  </c:pt>
                  <c:pt idx="24">
                    <c:v>3.8372609005328251E-10</c:v>
                  </c:pt>
                  <c:pt idx="25">
                    <c:v>3.5494494662322632E-10</c:v>
                  </c:pt>
                  <c:pt idx="26">
                    <c:v>3.818852856085729E-10</c:v>
                  </c:pt>
                  <c:pt idx="27">
                    <c:v>3.9452269659858791E-10</c:v>
                  </c:pt>
                  <c:pt idx="28">
                    <c:v>3.5880641833079311E-10</c:v>
                  </c:pt>
                  <c:pt idx="29">
                    <c:v>3.6049220468524182E-10</c:v>
                  </c:pt>
                  <c:pt idx="30">
                    <c:v>3.5305634522882072E-10</c:v>
                  </c:pt>
                  <c:pt idx="31">
                    <c:v>3.3849463916702331E-10</c:v>
                  </c:pt>
                  <c:pt idx="32">
                    <c:v>3.2242475178542238E-10</c:v>
                  </c:pt>
                  <c:pt idx="33">
                    <c:v>3.097145501731802E-10</c:v>
                  </c:pt>
                  <c:pt idx="34">
                    <c:v>3.0491559079507972E-10</c:v>
                  </c:pt>
                  <c:pt idx="35">
                    <c:v>2.8962338403381433E-10</c:v>
                  </c:pt>
                  <c:pt idx="36">
                    <c:v>2.5165996913912275E-10</c:v>
                  </c:pt>
                  <c:pt idx="37">
                    <c:v>1.4997869790235755E-10</c:v>
                  </c:pt>
                  <c:pt idx="38">
                    <c:v>1.3547950133824097E-10</c:v>
                  </c:pt>
                  <c:pt idx="39">
                    <c:v>1.3344411071522101E-10</c:v>
                  </c:pt>
                  <c:pt idx="40">
                    <c:v>1.1813650163880202E-10</c:v>
                  </c:pt>
                  <c:pt idx="41">
                    <c:v>1.4825815952182455E-10</c:v>
                  </c:pt>
                  <c:pt idx="42">
                    <c:v>1.3679147046634714E-10</c:v>
                  </c:pt>
                  <c:pt idx="43">
                    <c:v>1.2171006160949262E-10</c:v>
                  </c:pt>
                  <c:pt idx="44">
                    <c:v>1.2113303732817353E-10</c:v>
                  </c:pt>
                  <c:pt idx="45">
                    <c:v>1.1737300751861168E-10</c:v>
                  </c:pt>
                  <c:pt idx="46">
                    <c:v>1.262329204126242E-10</c:v>
                  </c:pt>
                  <c:pt idx="47">
                    <c:v>1.1568086525462094E-10</c:v>
                  </c:pt>
                  <c:pt idx="48">
                    <c:v>1.2487148896171581E-10</c:v>
                  </c:pt>
                  <c:pt idx="49">
                    <c:v>1.269892055716513E-10</c:v>
                  </c:pt>
                  <c:pt idx="50">
                    <c:v>1.251355742709628E-10</c:v>
                  </c:pt>
                  <c:pt idx="51">
                    <c:v>1.3480026957588791E-10</c:v>
                  </c:pt>
                  <c:pt idx="52">
                    <c:v>1.3243448430267064E-10</c:v>
                  </c:pt>
                  <c:pt idx="53">
                    <c:v>1.4065738533783412E-10</c:v>
                  </c:pt>
                  <c:pt idx="54">
                    <c:v>1.3514460380025696E-10</c:v>
                  </c:pt>
                  <c:pt idx="55">
                    <c:v>1.4262615839140147E-10</c:v>
                  </c:pt>
                  <c:pt idx="56">
                    <c:v>1.5311913155923001E-10</c:v>
                  </c:pt>
                  <c:pt idx="57">
                    <c:v>1.3091417195787559E-10</c:v>
                  </c:pt>
                  <c:pt idx="58">
                    <c:v>1.4808128234564171E-10</c:v>
                  </c:pt>
                  <c:pt idx="59">
                    <c:v>1.4405649623757825E-10</c:v>
                  </c:pt>
                  <c:pt idx="60">
                    <c:v>1.3980108911864202E-10</c:v>
                  </c:pt>
                  <c:pt idx="61">
                    <c:v>1.3754312968485291E-10</c:v>
                  </c:pt>
                  <c:pt idx="62">
                    <c:v>1.29232623513414E-10</c:v>
                  </c:pt>
                  <c:pt idx="63">
                    <c:v>1.4317297877178072E-10</c:v>
                  </c:pt>
                  <c:pt idx="64">
                    <c:v>9.7092926633260364E-11</c:v>
                  </c:pt>
                  <c:pt idx="65">
                    <c:v>9.5551471286399602E-11</c:v>
                  </c:pt>
                  <c:pt idx="66">
                    <c:v>8.7924763130400934E-11</c:v>
                  </c:pt>
                  <c:pt idx="67">
                    <c:v>8.3518167813884209E-11</c:v>
                  </c:pt>
                  <c:pt idx="68">
                    <c:v>7.577222884172747E-11</c:v>
                  </c:pt>
                  <c:pt idx="69">
                    <c:v>7.902083291036716E-11</c:v>
                  </c:pt>
                  <c:pt idx="70">
                    <c:v>1.0522591725079172E-10</c:v>
                  </c:pt>
                  <c:pt idx="71">
                    <c:v>1.0228730594083048E-10</c:v>
                  </c:pt>
                  <c:pt idx="72">
                    <c:v>1.1371807400082753E-10</c:v>
                  </c:pt>
                  <c:pt idx="73">
                    <c:v>1.0749125400492633E-10</c:v>
                  </c:pt>
                  <c:pt idx="74">
                    <c:v>1.0540010274726715E-10</c:v>
                  </c:pt>
                  <c:pt idx="75">
                    <c:v>1.045727882979826E-10</c:v>
                  </c:pt>
                  <c:pt idx="76">
                    <c:v>1.016915379035651E-10</c:v>
                  </c:pt>
                  <c:pt idx="77">
                    <c:v>9.4037431152206806E-11</c:v>
                  </c:pt>
                  <c:pt idx="78">
                    <c:v>1.1360592911803175E-10</c:v>
                  </c:pt>
                  <c:pt idx="79">
                    <c:v>1.1915757136309466E-10</c:v>
                  </c:pt>
                  <c:pt idx="80">
                    <c:v>1.2100833530456561E-10</c:v>
                  </c:pt>
                  <c:pt idx="81">
                    <c:v>1.1434572956658532E-10</c:v>
                  </c:pt>
                  <c:pt idx="82">
                    <c:v>1.2526658877440036E-10</c:v>
                  </c:pt>
                  <c:pt idx="83">
                    <c:v>1.2463625657761103E-10</c:v>
                  </c:pt>
                  <c:pt idx="84">
                    <c:v>1.3425094218349303E-10</c:v>
                  </c:pt>
                  <c:pt idx="85">
                    <c:v>1.2896392656892259E-10</c:v>
                  </c:pt>
                  <c:pt idx="86">
                    <c:v>1.5183670438531425E-10</c:v>
                  </c:pt>
                  <c:pt idx="87">
                    <c:v>1.411524041521319E-10</c:v>
                  </c:pt>
                  <c:pt idx="88">
                    <c:v>1.3503940830000809E-10</c:v>
                  </c:pt>
                  <c:pt idx="89">
                    <c:v>1.4611010313387351E-10</c:v>
                  </c:pt>
                  <c:pt idx="90">
                    <c:v>1.2783363717659728E-10</c:v>
                  </c:pt>
                  <c:pt idx="91">
                    <c:v>1.2589033400733713E-10</c:v>
                  </c:pt>
                  <c:pt idx="92">
                    <c:v>1.1613044165971295E-10</c:v>
                  </c:pt>
                  <c:pt idx="93">
                    <c:v>1.1724745712083778E-10</c:v>
                  </c:pt>
                  <c:pt idx="94">
                    <c:v>1.1194615801541099E-10</c:v>
                  </c:pt>
                  <c:pt idx="95">
                    <c:v>1.0707625764201339E-10</c:v>
                  </c:pt>
                  <c:pt idx="96">
                    <c:v>9.7990953119100647E-11</c:v>
                  </c:pt>
                  <c:pt idx="97">
                    <c:v>9.9709347609534661E-11</c:v>
                  </c:pt>
                  <c:pt idx="98">
                    <c:v>9.0561798247791245E-11</c:v>
                  </c:pt>
                  <c:pt idx="99">
                    <c:v>7.9740045743252432E-11</c:v>
                  </c:pt>
                  <c:pt idx="100">
                    <c:v>7.6655628384727112E-11</c:v>
                  </c:pt>
                  <c:pt idx="101">
                    <c:v>8.4232695548186758E-11</c:v>
                  </c:pt>
                  <c:pt idx="102">
                    <c:v>8.8387602830823429E-11</c:v>
                  </c:pt>
                  <c:pt idx="103">
                    <c:v>4.3504472653794943E-11</c:v>
                  </c:pt>
                  <c:pt idx="104">
                    <c:v>4.7828564338354723E-11</c:v>
                  </c:pt>
                  <c:pt idx="105">
                    <c:v>5.1397689504816898E-11</c:v>
                  </c:pt>
                  <c:pt idx="106">
                    <c:v>5.7277483151288312E-11</c:v>
                  </c:pt>
                  <c:pt idx="107">
                    <c:v>6.3279821114975243E-11</c:v>
                  </c:pt>
                  <c:pt idx="108">
                    <c:v>6.0751446836474405E-11</c:v>
                  </c:pt>
                  <c:pt idx="109">
                    <c:v>5.9285090091738135E-11</c:v>
                  </c:pt>
                  <c:pt idx="110">
                    <c:v>6.5889582217613379E-11</c:v>
                  </c:pt>
                  <c:pt idx="111">
                    <c:v>7.2932996556251495E-11</c:v>
                  </c:pt>
                  <c:pt idx="112">
                    <c:v>6.9631057301849714E-11</c:v>
                  </c:pt>
                  <c:pt idx="113">
                    <c:v>6.8659554361813789E-11</c:v>
                  </c:pt>
                  <c:pt idx="114">
                    <c:v>6.2023823758026542E-11</c:v>
                  </c:pt>
                  <c:pt idx="115">
                    <c:v>5.5708935215183598E-11</c:v>
                  </c:pt>
                  <c:pt idx="116">
                    <c:v>5.4803552729832359E-11</c:v>
                  </c:pt>
                  <c:pt idx="117">
                    <c:v>4.874372500583204E-11</c:v>
                  </c:pt>
                  <c:pt idx="118">
                    <c:v>4.5776461943508142E-11</c:v>
                  </c:pt>
                  <c:pt idx="119">
                    <c:v>4.5852806852102427E-11</c:v>
                  </c:pt>
                  <c:pt idx="120">
                    <c:v>4.2653029680644423E-11</c:v>
                  </c:pt>
                  <c:pt idx="121">
                    <c:v>4.47524822925578E-11</c:v>
                  </c:pt>
                  <c:pt idx="122">
                    <c:v>4.7127685991503994E-11</c:v>
                  </c:pt>
                  <c:pt idx="123">
                    <c:v>5.4898493918082787E-11</c:v>
                  </c:pt>
                  <c:pt idx="124">
                    <c:v>5.169102235128093E-11</c:v>
                  </c:pt>
                  <c:pt idx="125">
                    <c:v>6.2298780022875383E-11</c:v>
                  </c:pt>
                  <c:pt idx="126">
                    <c:v>6.8151414405792921E-11</c:v>
                  </c:pt>
                  <c:pt idx="127">
                    <c:v>7.6441132418485035E-11</c:v>
                  </c:pt>
                  <c:pt idx="128">
                    <c:v>7.2576001775128174E-11</c:v>
                  </c:pt>
                  <c:pt idx="129">
                    <c:v>7.5681049237680367E-11</c:v>
                  </c:pt>
                  <c:pt idx="130">
                    <c:v>7.8898509692457557E-11</c:v>
                  </c:pt>
                  <c:pt idx="131">
                    <c:v>7.9166473733035474E-11</c:v>
                  </c:pt>
                  <c:pt idx="132">
                    <c:v>7.582972004036647E-11</c:v>
                  </c:pt>
                  <c:pt idx="133">
                    <c:v>7.5061184311396325E-11</c:v>
                  </c:pt>
                  <c:pt idx="134">
                    <c:v>6.4472308299176079E-11</c:v>
                  </c:pt>
                  <c:pt idx="135">
                    <c:v>6.266584442604026E-11</c:v>
                  </c:pt>
                  <c:pt idx="136">
                    <c:v>5.8926877826456038E-11</c:v>
                  </c:pt>
                  <c:pt idx="137">
                    <c:v>5.7963762990450213E-11</c:v>
                  </c:pt>
                  <c:pt idx="138">
                    <c:v>5.806661233910389E-11</c:v>
                  </c:pt>
                  <c:pt idx="139">
                    <c:v>5.7494684828770986E-11</c:v>
                  </c:pt>
                  <c:pt idx="140">
                    <c:v>6.7121756341537281E-11</c:v>
                  </c:pt>
                  <c:pt idx="141">
                    <c:v>7.9056498674012526E-11</c:v>
                  </c:pt>
                  <c:pt idx="142">
                    <c:v>7.7947392619099239E-11</c:v>
                  </c:pt>
                  <c:pt idx="143">
                    <c:v>8.6983241406534814E-11</c:v>
                  </c:pt>
                  <c:pt idx="144">
                    <c:v>8.8470682382896864E-11</c:v>
                  </c:pt>
                  <c:pt idx="145">
                    <c:v>1.0143268531897125E-10</c:v>
                  </c:pt>
                  <c:pt idx="146">
                    <c:v>9.7008456886826458E-11</c:v>
                  </c:pt>
                  <c:pt idx="147">
                    <c:v>1.0700512887540818E-10</c:v>
                  </c:pt>
                  <c:pt idx="148">
                    <c:v>8.7489805538497768E-11</c:v>
                  </c:pt>
                  <c:pt idx="149">
                    <c:v>8.726022005073718E-11</c:v>
                  </c:pt>
                  <c:pt idx="150">
                    <c:v>8.5948373347545126E-11</c:v>
                  </c:pt>
                  <c:pt idx="151">
                    <c:v>8.3587735289575185E-11</c:v>
                  </c:pt>
                  <c:pt idx="152">
                    <c:v>7.7774419862238186E-11</c:v>
                  </c:pt>
                  <c:pt idx="153">
                    <c:v>7.9552476874822539E-11</c:v>
                  </c:pt>
                  <c:pt idx="154">
                    <c:v>7.5992438200022908E-11</c:v>
                  </c:pt>
                  <c:pt idx="155">
                    <c:v>8.7462791650654599E-11</c:v>
                  </c:pt>
                  <c:pt idx="156">
                    <c:v>9.4945193471199484E-11</c:v>
                  </c:pt>
                  <c:pt idx="157">
                    <c:v>1.0331827861695257E-10</c:v>
                  </c:pt>
                  <c:pt idx="158">
                    <c:v>1.1128925383142556E-10</c:v>
                  </c:pt>
                  <c:pt idx="159">
                    <c:v>1.1398369995109285E-10</c:v>
                  </c:pt>
                  <c:pt idx="160">
                    <c:v>1.1830784371086124E-10</c:v>
                  </c:pt>
                  <c:pt idx="161">
                    <c:v>1.12321186441377E-10</c:v>
                  </c:pt>
                  <c:pt idx="162">
                    <c:v>1.0945527927330176E-10</c:v>
                  </c:pt>
                  <c:pt idx="163">
                    <c:v>1.1876448716026859E-10</c:v>
                  </c:pt>
                  <c:pt idx="164">
                    <c:v>1.1217730172290256E-10</c:v>
                  </c:pt>
                  <c:pt idx="165">
                    <c:v>1.1254522901888263E-10</c:v>
                  </c:pt>
                  <c:pt idx="166">
                    <c:v>9.0559026921306815E-11</c:v>
                  </c:pt>
                  <c:pt idx="167">
                    <c:v>1.0891181621769855E-10</c:v>
                  </c:pt>
                  <c:pt idx="168">
                    <c:v>9.9754362556542796E-11</c:v>
                  </c:pt>
                  <c:pt idx="169">
                    <c:v>5.5739941050519472E-11</c:v>
                  </c:pt>
                  <c:pt idx="170">
                    <c:v>5.6336271022963906E-11</c:v>
                  </c:pt>
                  <c:pt idx="171">
                    <c:v>6.1448960416529485E-11</c:v>
                  </c:pt>
                  <c:pt idx="172">
                    <c:v>6.1606101861575893E-11</c:v>
                  </c:pt>
                  <c:pt idx="173">
                    <c:v>6.4526067712597958E-11</c:v>
                  </c:pt>
                  <c:pt idx="174">
                    <c:v>5.9447689854870473E-11</c:v>
                  </c:pt>
                  <c:pt idx="175">
                    <c:v>4.9658788118715169E-11</c:v>
                  </c:pt>
                  <c:pt idx="176">
                    <c:v>4.9814629051014455E-11</c:v>
                  </c:pt>
                  <c:pt idx="177">
                    <c:v>5.0277772917207693E-11</c:v>
                  </c:pt>
                  <c:pt idx="178">
                    <c:v>5.2595313498759123E-11</c:v>
                  </c:pt>
                  <c:pt idx="179">
                    <c:v>5.3815203679827173E-11</c:v>
                  </c:pt>
                  <c:pt idx="180">
                    <c:v>5.8957241643738409E-11</c:v>
                  </c:pt>
                  <c:pt idx="181">
                    <c:v>5.9638156487255207E-11</c:v>
                  </c:pt>
                  <c:pt idx="182">
                    <c:v>5.8255470749875889E-11</c:v>
                  </c:pt>
                  <c:pt idx="183">
                    <c:v>6.3977968584827238E-11</c:v>
                  </c:pt>
                  <c:pt idx="184">
                    <c:v>6.6860801820590832E-11</c:v>
                  </c:pt>
                  <c:pt idx="185">
                    <c:v>6.5367852220060639E-11</c:v>
                  </c:pt>
                  <c:pt idx="186">
                    <c:v>7.0957375693906678E-11</c:v>
                  </c:pt>
                  <c:pt idx="187">
                    <c:v>6.204219153957174E-11</c:v>
                  </c:pt>
                  <c:pt idx="188">
                    <c:v>6.6964975709472737E-11</c:v>
                  </c:pt>
                  <c:pt idx="189">
                    <c:v>7.2900059740195246E-11</c:v>
                  </c:pt>
                  <c:pt idx="190">
                    <c:v>6.7759133520256478E-11</c:v>
                  </c:pt>
                  <c:pt idx="191">
                    <c:v>7.2131626746505076E-11</c:v>
                  </c:pt>
                  <c:pt idx="192">
                    <c:v>8.4658201266812248E-11</c:v>
                  </c:pt>
                  <c:pt idx="193">
                    <c:v>8.2387526406297927E-11</c:v>
                  </c:pt>
                  <c:pt idx="194">
                    <c:v>7.9826991683406035E-11</c:v>
                  </c:pt>
                  <c:pt idx="195">
                    <c:v>7.3902361357451559E-11</c:v>
                  </c:pt>
                  <c:pt idx="196">
                    <c:v>7.3657555130860527E-11</c:v>
                  </c:pt>
                  <c:pt idx="197">
                    <c:v>7.7056081730609405E-11</c:v>
                  </c:pt>
                  <c:pt idx="198">
                    <c:v>7.53493022172852E-11</c:v>
                  </c:pt>
                  <c:pt idx="199">
                    <c:v>9.3547568820612354E-11</c:v>
                  </c:pt>
                  <c:pt idx="200">
                    <c:v>8.3024085690452699E-11</c:v>
                  </c:pt>
                  <c:pt idx="201">
                    <c:v>9.1118691760550082E-11</c:v>
                  </c:pt>
                  <c:pt idx="202">
                    <c:v>9.8706766935056411E-11</c:v>
                  </c:pt>
                  <c:pt idx="203">
                    <c:v>8.9902331780463535E-11</c:v>
                  </c:pt>
                  <c:pt idx="204">
                    <c:v>9.0922925455710546E-11</c:v>
                  </c:pt>
                  <c:pt idx="205">
                    <c:v>9.4559033412453552E-11</c:v>
                  </c:pt>
                  <c:pt idx="206">
                    <c:v>1.0128422929684354E-10</c:v>
                  </c:pt>
                  <c:pt idx="207">
                    <c:v>1.0759165031643574E-10</c:v>
                  </c:pt>
                  <c:pt idx="208">
                    <c:v>1.1332656404513284E-10</c:v>
                  </c:pt>
                  <c:pt idx="209">
                    <c:v>1.0861692363093834E-10</c:v>
                  </c:pt>
                  <c:pt idx="210">
                    <c:v>1.1864239002922441E-10</c:v>
                  </c:pt>
                  <c:pt idx="211">
                    <c:v>1.2181928207044367E-10</c:v>
                  </c:pt>
                  <c:pt idx="212">
                    <c:v>1.2458560542619436E-10</c:v>
                  </c:pt>
                  <c:pt idx="213">
                    <c:v>1.3260140280882954E-10</c:v>
                  </c:pt>
                  <c:pt idx="214">
                    <c:v>1.141221599444326E-10</c:v>
                  </c:pt>
                  <c:pt idx="215">
                    <c:v>1.1613324729415684E-10</c:v>
                  </c:pt>
                  <c:pt idx="216">
                    <c:v>1.2401814398336513E-10</c:v>
                  </c:pt>
                  <c:pt idx="217">
                    <c:v>1.3415209948528781E-10</c:v>
                  </c:pt>
                  <c:pt idx="218">
                    <c:v>1.4041721971654414E-10</c:v>
                  </c:pt>
                  <c:pt idx="219">
                    <c:v>1.3088629192143364E-10</c:v>
                  </c:pt>
                  <c:pt idx="220">
                    <c:v>1.3616332509320785E-10</c:v>
                  </c:pt>
                  <c:pt idx="221">
                    <c:v>1.2799640637893878E-10</c:v>
                  </c:pt>
                  <c:pt idx="222">
                    <c:v>1.3650683174037063E-10</c:v>
                  </c:pt>
                  <c:pt idx="223">
                    <c:v>1.4581588545248684E-10</c:v>
                  </c:pt>
                  <c:pt idx="224">
                    <c:v>1.6109286545463661E-10</c:v>
                  </c:pt>
                  <c:pt idx="225">
                    <c:v>1.5451072821119441E-10</c:v>
                  </c:pt>
                  <c:pt idx="226">
                    <c:v>1.6214934363581069E-10</c:v>
                  </c:pt>
                  <c:pt idx="227">
                    <c:v>1.4531716625340738E-10</c:v>
                  </c:pt>
                  <c:pt idx="228">
                    <c:v>1.5978875186790202E-10</c:v>
                  </c:pt>
                  <c:pt idx="229">
                    <c:v>1.6697271682303531E-10</c:v>
                  </c:pt>
                  <c:pt idx="230">
                    <c:v>1.6014793915353143E-10</c:v>
                  </c:pt>
                  <c:pt idx="231">
                    <c:v>1.79942894983991E-10</c:v>
                  </c:pt>
                  <c:pt idx="232">
                    <c:v>1.537743055490903E-10</c:v>
                  </c:pt>
                  <c:pt idx="233">
                    <c:v>1.8901091001637117E-10</c:v>
                  </c:pt>
                  <c:pt idx="234">
                    <c:v>1.8490316470907341E-10</c:v>
                  </c:pt>
                  <c:pt idx="235">
                    <c:v>1.9711996064761197E-10</c:v>
                  </c:pt>
                  <c:pt idx="236">
                    <c:v>1.8633281577620178E-10</c:v>
                  </c:pt>
                  <c:pt idx="237">
                    <c:v>1.0030460052243987E-10</c:v>
                  </c:pt>
                  <c:pt idx="238">
                    <c:v>9.4142268229352706E-11</c:v>
                  </c:pt>
                  <c:pt idx="239">
                    <c:v>9.7184187928764079E-11</c:v>
                  </c:pt>
                  <c:pt idx="240">
                    <c:v>9.8039268873347135E-11</c:v>
                  </c:pt>
                  <c:pt idx="241">
                    <c:v>9.3495451649796607E-11</c:v>
                  </c:pt>
                  <c:pt idx="242">
                    <c:v>9.8574823208766584E-11</c:v>
                  </c:pt>
                  <c:pt idx="243">
                    <c:v>9.0155350498320762E-11</c:v>
                  </c:pt>
                  <c:pt idx="244">
                    <c:v>1.0332869984528703E-10</c:v>
                  </c:pt>
                  <c:pt idx="245">
                    <c:v>1.0192331474936836E-10</c:v>
                  </c:pt>
                  <c:pt idx="246">
                    <c:v>1.0264242947335795E-10</c:v>
                  </c:pt>
                  <c:pt idx="247">
                    <c:v>1.028681016610785E-10</c:v>
                  </c:pt>
                  <c:pt idx="248">
                    <c:v>1.0852785549109131E-10</c:v>
                  </c:pt>
                  <c:pt idx="249">
                    <c:v>1.0362546381919445E-10</c:v>
                  </c:pt>
                  <c:pt idx="250">
                    <c:v>1.0483780222770486E-10</c:v>
                  </c:pt>
                  <c:pt idx="251">
                    <c:v>1.0936120288353341E-10</c:v>
                  </c:pt>
                  <c:pt idx="252">
                    <c:v>1.2083104655351681E-10</c:v>
                  </c:pt>
                  <c:pt idx="253">
                    <c:v>1.1813860564298539E-10</c:v>
                  </c:pt>
                  <c:pt idx="254">
                    <c:v>1.2780142741501455E-10</c:v>
                  </c:pt>
                  <c:pt idx="255">
                    <c:v>1.2558943339233999E-10</c:v>
                  </c:pt>
                  <c:pt idx="256">
                    <c:v>1.258980489896261E-10</c:v>
                  </c:pt>
                  <c:pt idx="257">
                    <c:v>1.4864626330851311E-10</c:v>
                  </c:pt>
                  <c:pt idx="258">
                    <c:v>1.2589054403585729E-10</c:v>
                  </c:pt>
                  <c:pt idx="259">
                    <c:v>1.427064967510196E-10</c:v>
                  </c:pt>
                  <c:pt idx="260">
                    <c:v>1.4292721096461264E-10</c:v>
                  </c:pt>
                  <c:pt idx="261">
                    <c:v>1.5181173278432861E-10</c:v>
                  </c:pt>
                  <c:pt idx="262">
                    <c:v>1.5006765634338829E-10</c:v>
                  </c:pt>
                  <c:pt idx="263">
                    <c:v>1.3626253323130497E-10</c:v>
                  </c:pt>
                  <c:pt idx="264">
                    <c:v>1.5278378762349575E-10</c:v>
                  </c:pt>
                  <c:pt idx="265">
                    <c:v>1.6266183094391169E-10</c:v>
                  </c:pt>
                  <c:pt idx="266">
                    <c:v>1.5557275366672843E-10</c:v>
                  </c:pt>
                  <c:pt idx="267">
                    <c:v>1.7257999941820602E-10</c:v>
                  </c:pt>
                  <c:pt idx="268">
                    <c:v>1.5863452545901236E-10</c:v>
                  </c:pt>
                  <c:pt idx="269">
                    <c:v>1.6777646489277574E-10</c:v>
                  </c:pt>
                  <c:pt idx="270">
                    <c:v>1.7811307072621791E-10</c:v>
                  </c:pt>
                  <c:pt idx="271">
                    <c:v>1.6430526166222844E-10</c:v>
                  </c:pt>
                  <c:pt idx="272">
                    <c:v>1.9226801540282031E-10</c:v>
                  </c:pt>
                  <c:pt idx="273">
                    <c:v>1.9346462016341271E-10</c:v>
                  </c:pt>
                  <c:pt idx="274">
                    <c:v>2.1158345264295137E-10</c:v>
                  </c:pt>
                  <c:pt idx="275">
                    <c:v>2.159159578617806E-10</c:v>
                  </c:pt>
                  <c:pt idx="276">
                    <c:v>2.1355120717212862E-10</c:v>
                  </c:pt>
                  <c:pt idx="277">
                    <c:v>1.9545744562750168E-10</c:v>
                  </c:pt>
                  <c:pt idx="278">
                    <c:v>2.2676976550865119E-10</c:v>
                  </c:pt>
                  <c:pt idx="279">
                    <c:v>2.0329941415942332E-10</c:v>
                  </c:pt>
                  <c:pt idx="280">
                    <c:v>2.4435658859743047E-10</c:v>
                  </c:pt>
                  <c:pt idx="281">
                    <c:v>2.3408681513259151E-10</c:v>
                  </c:pt>
                  <c:pt idx="282">
                    <c:v>2.1850063122548463E-10</c:v>
                  </c:pt>
                  <c:pt idx="283">
                    <c:v>2.3040162441916254E-10</c:v>
                  </c:pt>
                  <c:pt idx="284">
                    <c:v>2.1881408173641937E-10</c:v>
                  </c:pt>
                  <c:pt idx="285">
                    <c:v>2.4166716155911734E-10</c:v>
                  </c:pt>
                  <c:pt idx="286">
                    <c:v>2.5783186169676079E-10</c:v>
                  </c:pt>
                  <c:pt idx="287">
                    <c:v>2.4990153163185718E-10</c:v>
                  </c:pt>
                  <c:pt idx="288">
                    <c:v>2.4578190959603144E-10</c:v>
                  </c:pt>
                  <c:pt idx="289">
                    <c:v>2.3115077490206674E-10</c:v>
                  </c:pt>
                  <c:pt idx="290">
                    <c:v>2.6153721813158184E-10</c:v>
                  </c:pt>
                  <c:pt idx="291">
                    <c:v>2.8396946452289856E-10</c:v>
                  </c:pt>
                  <c:pt idx="292">
                    <c:v>2.8298150330561799E-10</c:v>
                  </c:pt>
                  <c:pt idx="293">
                    <c:v>2.7821818016454753E-10</c:v>
                  </c:pt>
                  <c:pt idx="294">
                    <c:v>2.8537695800546246E-10</c:v>
                  </c:pt>
                  <c:pt idx="295">
                    <c:v>2.8003248958125666E-10</c:v>
                  </c:pt>
                  <c:pt idx="296">
                    <c:v>3.0488128934962613E-10</c:v>
                  </c:pt>
                  <c:pt idx="297">
                    <c:v>2.8799194219661711E-10</c:v>
                  </c:pt>
                  <c:pt idx="298">
                    <c:v>3.1043438503962921E-10</c:v>
                  </c:pt>
                  <c:pt idx="299">
                    <c:v>3.6012095965726565E-10</c:v>
                  </c:pt>
                  <c:pt idx="300">
                    <c:v>3.1154442402460574E-10</c:v>
                  </c:pt>
                  <c:pt idx="301">
                    <c:v>3.3819473321971004E-10</c:v>
                  </c:pt>
                  <c:pt idx="302">
                    <c:v>3.448167288344377E-10</c:v>
                  </c:pt>
                  <c:pt idx="303">
                    <c:v>3.4433715880862049E-10</c:v>
                  </c:pt>
                  <c:pt idx="304">
                    <c:v>3.3457770672307327E-10</c:v>
                  </c:pt>
                  <c:pt idx="305">
                    <c:v>3.5973581454247065E-10</c:v>
                  </c:pt>
                  <c:pt idx="306">
                    <c:v>3.7739116354531428E-10</c:v>
                  </c:pt>
                  <c:pt idx="307">
                    <c:v>3.7674103497744919E-10</c:v>
                  </c:pt>
                  <c:pt idx="308">
                    <c:v>4.1026784455110179E-10</c:v>
                  </c:pt>
                  <c:pt idx="309">
                    <c:v>4.3303499808735803E-10</c:v>
                  </c:pt>
                  <c:pt idx="310">
                    <c:v>3.9062683326522466E-10</c:v>
                  </c:pt>
                  <c:pt idx="311">
                    <c:v>4.53473541521887E-10</c:v>
                  </c:pt>
                  <c:pt idx="312">
                    <c:v>4.3031502325544655E-10</c:v>
                  </c:pt>
                  <c:pt idx="313">
                    <c:v>4.6671029085152349E-10</c:v>
                  </c:pt>
                  <c:pt idx="314">
                    <c:v>5.3765543951552366E-10</c:v>
                  </c:pt>
                  <c:pt idx="315">
                    <c:v>4.8259399764257612E-10</c:v>
                  </c:pt>
                  <c:pt idx="316">
                    <c:v>5.413141493900899E-10</c:v>
                  </c:pt>
                  <c:pt idx="317">
                    <c:v>5.0521368739801772E-10</c:v>
                  </c:pt>
                  <c:pt idx="318">
                    <c:v>5.2999763594860012E-10</c:v>
                  </c:pt>
                  <c:pt idx="319">
                    <c:v>5.0137593063462015E-10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5.6682629261330386E-10</c:v>
                  </c:pt>
                  <c:pt idx="1">
                    <c:v>5.160220712515903E-10</c:v>
                  </c:pt>
                  <c:pt idx="2">
                    <c:v>5.3239116406212026E-10</c:v>
                  </c:pt>
                  <c:pt idx="3">
                    <c:v>4.9946151406808827E-10</c:v>
                  </c:pt>
                  <c:pt idx="4">
                    <c:v>5.071020566546224E-10</c:v>
                  </c:pt>
                  <c:pt idx="5">
                    <c:v>5.1409719380975196E-10</c:v>
                  </c:pt>
                  <c:pt idx="6">
                    <c:v>5.1524654238263911E-10</c:v>
                  </c:pt>
                  <c:pt idx="7">
                    <c:v>5.459072096276887E-10</c:v>
                  </c:pt>
                  <c:pt idx="8">
                    <c:v>5.3013219494707995E-10</c:v>
                  </c:pt>
                  <c:pt idx="9">
                    <c:v>5.2423709380729502E-10</c:v>
                  </c:pt>
                  <c:pt idx="10">
                    <c:v>4.6581241764493273E-10</c:v>
                  </c:pt>
                  <c:pt idx="11">
                    <c:v>5.3205825878942223E-10</c:v>
                  </c:pt>
                  <c:pt idx="12">
                    <c:v>5.52709187751904E-10</c:v>
                  </c:pt>
                  <c:pt idx="13">
                    <c:v>5.3950944798893405E-10</c:v>
                  </c:pt>
                  <c:pt idx="14">
                    <c:v>5.442217590133646E-10</c:v>
                  </c:pt>
                  <c:pt idx="15">
                    <c:v>5.1107534092865963E-10</c:v>
                  </c:pt>
                  <c:pt idx="16">
                    <c:v>4.1139940568843583E-10</c:v>
                  </c:pt>
                  <c:pt idx="17">
                    <c:v>3.9979547806631144E-10</c:v>
                  </c:pt>
                  <c:pt idx="18">
                    <c:v>3.9610185008790699E-10</c:v>
                  </c:pt>
                  <c:pt idx="19">
                    <c:v>3.7861250714851716E-10</c:v>
                  </c:pt>
                  <c:pt idx="20">
                    <c:v>3.4911661819637891E-10</c:v>
                  </c:pt>
                  <c:pt idx="21">
                    <c:v>4.5620418340165169E-10</c:v>
                  </c:pt>
                  <c:pt idx="22">
                    <c:v>4.2308369245058429E-10</c:v>
                  </c:pt>
                  <c:pt idx="23">
                    <c:v>4.0079715044651062E-10</c:v>
                  </c:pt>
                  <c:pt idx="24">
                    <c:v>3.8372609005328251E-10</c:v>
                  </c:pt>
                  <c:pt idx="25">
                    <c:v>3.5494494662322632E-10</c:v>
                  </c:pt>
                  <c:pt idx="26">
                    <c:v>3.818852856085729E-10</c:v>
                  </c:pt>
                  <c:pt idx="27">
                    <c:v>3.9452269659858791E-10</c:v>
                  </c:pt>
                  <c:pt idx="28">
                    <c:v>3.5880641833079311E-10</c:v>
                  </c:pt>
                  <c:pt idx="29">
                    <c:v>3.6049220468524182E-10</c:v>
                  </c:pt>
                  <c:pt idx="30">
                    <c:v>3.5305634522882072E-10</c:v>
                  </c:pt>
                  <c:pt idx="31">
                    <c:v>3.3849463916702331E-10</c:v>
                  </c:pt>
                  <c:pt idx="32">
                    <c:v>3.2242475178542238E-10</c:v>
                  </c:pt>
                  <c:pt idx="33">
                    <c:v>3.097145501731802E-10</c:v>
                  </c:pt>
                  <c:pt idx="34">
                    <c:v>3.0491559079507972E-10</c:v>
                  </c:pt>
                  <c:pt idx="35">
                    <c:v>2.8962338403381433E-10</c:v>
                  </c:pt>
                  <c:pt idx="36">
                    <c:v>2.5165996913912275E-10</c:v>
                  </c:pt>
                  <c:pt idx="37">
                    <c:v>1.4997869790235755E-10</c:v>
                  </c:pt>
                  <c:pt idx="38">
                    <c:v>1.3547950133824097E-10</c:v>
                  </c:pt>
                  <c:pt idx="39">
                    <c:v>1.3344411071522101E-10</c:v>
                  </c:pt>
                  <c:pt idx="40">
                    <c:v>1.1813650163880202E-10</c:v>
                  </c:pt>
                  <c:pt idx="41">
                    <c:v>1.4825815952182455E-10</c:v>
                  </c:pt>
                  <c:pt idx="42">
                    <c:v>1.3679147046634714E-10</c:v>
                  </c:pt>
                  <c:pt idx="43">
                    <c:v>1.2171006160949262E-10</c:v>
                  </c:pt>
                  <c:pt idx="44">
                    <c:v>1.2113303732817353E-10</c:v>
                  </c:pt>
                  <c:pt idx="45">
                    <c:v>1.1737300751861168E-10</c:v>
                  </c:pt>
                  <c:pt idx="46">
                    <c:v>1.262329204126242E-10</c:v>
                  </c:pt>
                  <c:pt idx="47">
                    <c:v>1.1568086525462094E-10</c:v>
                  </c:pt>
                  <c:pt idx="48">
                    <c:v>1.2487148896171581E-10</c:v>
                  </c:pt>
                  <c:pt idx="49">
                    <c:v>1.269892055716513E-10</c:v>
                  </c:pt>
                  <c:pt idx="50">
                    <c:v>1.251355742709628E-10</c:v>
                  </c:pt>
                  <c:pt idx="51">
                    <c:v>1.3480026957588791E-10</c:v>
                  </c:pt>
                  <c:pt idx="52">
                    <c:v>1.3243448430267064E-10</c:v>
                  </c:pt>
                  <c:pt idx="53">
                    <c:v>1.4065738533783412E-10</c:v>
                  </c:pt>
                  <c:pt idx="54">
                    <c:v>1.3514460380025696E-10</c:v>
                  </c:pt>
                  <c:pt idx="55">
                    <c:v>1.4262615839140147E-10</c:v>
                  </c:pt>
                  <c:pt idx="56">
                    <c:v>1.5311913155923001E-10</c:v>
                  </c:pt>
                  <c:pt idx="57">
                    <c:v>1.3091417195787559E-10</c:v>
                  </c:pt>
                  <c:pt idx="58">
                    <c:v>1.4808128234564171E-10</c:v>
                  </c:pt>
                  <c:pt idx="59">
                    <c:v>1.4405649623757825E-10</c:v>
                  </c:pt>
                  <c:pt idx="60">
                    <c:v>1.3980108911864202E-10</c:v>
                  </c:pt>
                  <c:pt idx="61">
                    <c:v>1.3754312968485291E-10</c:v>
                  </c:pt>
                  <c:pt idx="62">
                    <c:v>1.29232623513414E-10</c:v>
                  </c:pt>
                  <c:pt idx="63">
                    <c:v>1.4317297877178072E-10</c:v>
                  </c:pt>
                  <c:pt idx="64">
                    <c:v>9.7092926633260364E-11</c:v>
                  </c:pt>
                  <c:pt idx="65">
                    <c:v>9.5551471286399602E-11</c:v>
                  </c:pt>
                  <c:pt idx="66">
                    <c:v>8.7924763130400934E-11</c:v>
                  </c:pt>
                  <c:pt idx="67">
                    <c:v>8.3518167813884209E-11</c:v>
                  </c:pt>
                  <c:pt idx="68">
                    <c:v>7.577222884172747E-11</c:v>
                  </c:pt>
                  <c:pt idx="69">
                    <c:v>7.902083291036716E-11</c:v>
                  </c:pt>
                  <c:pt idx="70">
                    <c:v>1.0522591725079172E-10</c:v>
                  </c:pt>
                  <c:pt idx="71">
                    <c:v>1.0228730594083048E-10</c:v>
                  </c:pt>
                  <c:pt idx="72">
                    <c:v>1.1371807400082753E-10</c:v>
                  </c:pt>
                  <c:pt idx="73">
                    <c:v>1.0749125400492633E-10</c:v>
                  </c:pt>
                  <c:pt idx="74">
                    <c:v>1.0540010274726715E-10</c:v>
                  </c:pt>
                  <c:pt idx="75">
                    <c:v>1.045727882979826E-10</c:v>
                  </c:pt>
                  <c:pt idx="76">
                    <c:v>1.016915379035651E-10</c:v>
                  </c:pt>
                  <c:pt idx="77">
                    <c:v>9.4037431152206806E-11</c:v>
                  </c:pt>
                  <c:pt idx="78">
                    <c:v>1.1360592911803175E-10</c:v>
                  </c:pt>
                  <c:pt idx="79">
                    <c:v>1.1915757136309466E-10</c:v>
                  </c:pt>
                  <c:pt idx="80">
                    <c:v>1.2100833530456561E-10</c:v>
                  </c:pt>
                  <c:pt idx="81">
                    <c:v>1.1434572956658532E-10</c:v>
                  </c:pt>
                  <c:pt idx="82">
                    <c:v>1.2526658877440036E-10</c:v>
                  </c:pt>
                  <c:pt idx="83">
                    <c:v>1.2463625657761103E-10</c:v>
                  </c:pt>
                  <c:pt idx="84">
                    <c:v>1.3425094218349303E-10</c:v>
                  </c:pt>
                  <c:pt idx="85">
                    <c:v>1.2896392656892259E-10</c:v>
                  </c:pt>
                  <c:pt idx="86">
                    <c:v>1.5183670438531425E-10</c:v>
                  </c:pt>
                  <c:pt idx="87">
                    <c:v>1.411524041521319E-10</c:v>
                  </c:pt>
                  <c:pt idx="88">
                    <c:v>1.3503940830000809E-10</c:v>
                  </c:pt>
                  <c:pt idx="89">
                    <c:v>1.4611010313387351E-10</c:v>
                  </c:pt>
                  <c:pt idx="90">
                    <c:v>1.2783363717659728E-10</c:v>
                  </c:pt>
                  <c:pt idx="91">
                    <c:v>1.2589033400733713E-10</c:v>
                  </c:pt>
                  <c:pt idx="92">
                    <c:v>1.1613044165971295E-10</c:v>
                  </c:pt>
                  <c:pt idx="93">
                    <c:v>1.1724745712083778E-10</c:v>
                  </c:pt>
                  <c:pt idx="94">
                    <c:v>1.1194615801541099E-10</c:v>
                  </c:pt>
                  <c:pt idx="95">
                    <c:v>1.0707625764201339E-10</c:v>
                  </c:pt>
                  <c:pt idx="96">
                    <c:v>9.7990953119100647E-11</c:v>
                  </c:pt>
                  <c:pt idx="97">
                    <c:v>9.9709347609534661E-11</c:v>
                  </c:pt>
                  <c:pt idx="98">
                    <c:v>9.0561798247791245E-11</c:v>
                  </c:pt>
                  <c:pt idx="99">
                    <c:v>7.9740045743252432E-11</c:v>
                  </c:pt>
                  <c:pt idx="100">
                    <c:v>7.6655628384727112E-11</c:v>
                  </c:pt>
                  <c:pt idx="101">
                    <c:v>8.4232695548186758E-11</c:v>
                  </c:pt>
                  <c:pt idx="102">
                    <c:v>8.8387602830823429E-11</c:v>
                  </c:pt>
                  <c:pt idx="103">
                    <c:v>4.3504472653794943E-11</c:v>
                  </c:pt>
                  <c:pt idx="104">
                    <c:v>4.7828564338354723E-11</c:v>
                  </c:pt>
                  <c:pt idx="105">
                    <c:v>5.1397689504816898E-11</c:v>
                  </c:pt>
                  <c:pt idx="106">
                    <c:v>5.7277483151288312E-11</c:v>
                  </c:pt>
                  <c:pt idx="107">
                    <c:v>6.3279821114975243E-11</c:v>
                  </c:pt>
                  <c:pt idx="108">
                    <c:v>6.0751446836474405E-11</c:v>
                  </c:pt>
                  <c:pt idx="109">
                    <c:v>5.9285090091738135E-11</c:v>
                  </c:pt>
                  <c:pt idx="110">
                    <c:v>6.5889582217613379E-11</c:v>
                  </c:pt>
                  <c:pt idx="111">
                    <c:v>7.2932996556251495E-11</c:v>
                  </c:pt>
                  <c:pt idx="112">
                    <c:v>6.9631057301849714E-11</c:v>
                  </c:pt>
                  <c:pt idx="113">
                    <c:v>6.8659554361813789E-11</c:v>
                  </c:pt>
                  <c:pt idx="114">
                    <c:v>6.2023823758026542E-11</c:v>
                  </c:pt>
                  <c:pt idx="115">
                    <c:v>5.5708935215183598E-11</c:v>
                  </c:pt>
                  <c:pt idx="116">
                    <c:v>5.4803552729832359E-11</c:v>
                  </c:pt>
                  <c:pt idx="117">
                    <c:v>4.874372500583204E-11</c:v>
                  </c:pt>
                  <c:pt idx="118">
                    <c:v>4.5776461943508142E-11</c:v>
                  </c:pt>
                  <c:pt idx="119">
                    <c:v>4.5852806852102427E-11</c:v>
                  </c:pt>
                  <c:pt idx="120">
                    <c:v>4.2653029680644423E-11</c:v>
                  </c:pt>
                  <c:pt idx="121">
                    <c:v>4.47524822925578E-11</c:v>
                  </c:pt>
                  <c:pt idx="122">
                    <c:v>4.7127685991503994E-11</c:v>
                  </c:pt>
                  <c:pt idx="123">
                    <c:v>5.4898493918082787E-11</c:v>
                  </c:pt>
                  <c:pt idx="124">
                    <c:v>5.169102235128093E-11</c:v>
                  </c:pt>
                  <c:pt idx="125">
                    <c:v>6.2298780022875383E-11</c:v>
                  </c:pt>
                  <c:pt idx="126">
                    <c:v>6.8151414405792921E-11</c:v>
                  </c:pt>
                  <c:pt idx="127">
                    <c:v>7.6441132418485035E-11</c:v>
                  </c:pt>
                  <c:pt idx="128">
                    <c:v>7.2576001775128174E-11</c:v>
                  </c:pt>
                  <c:pt idx="129">
                    <c:v>7.5681049237680367E-11</c:v>
                  </c:pt>
                  <c:pt idx="130">
                    <c:v>7.8898509692457557E-11</c:v>
                  </c:pt>
                  <c:pt idx="131">
                    <c:v>7.9166473733035474E-11</c:v>
                  </c:pt>
                  <c:pt idx="132">
                    <c:v>7.582972004036647E-11</c:v>
                  </c:pt>
                  <c:pt idx="133">
                    <c:v>7.5061184311396325E-11</c:v>
                  </c:pt>
                  <c:pt idx="134">
                    <c:v>6.4472308299176079E-11</c:v>
                  </c:pt>
                  <c:pt idx="135">
                    <c:v>6.266584442604026E-11</c:v>
                  </c:pt>
                  <c:pt idx="136">
                    <c:v>5.8926877826456038E-11</c:v>
                  </c:pt>
                  <c:pt idx="137">
                    <c:v>5.7963762990450213E-11</c:v>
                  </c:pt>
                  <c:pt idx="138">
                    <c:v>5.806661233910389E-11</c:v>
                  </c:pt>
                  <c:pt idx="139">
                    <c:v>5.7494684828770986E-11</c:v>
                  </c:pt>
                  <c:pt idx="140">
                    <c:v>6.7121756341537281E-11</c:v>
                  </c:pt>
                  <c:pt idx="141">
                    <c:v>7.9056498674012526E-11</c:v>
                  </c:pt>
                  <c:pt idx="142">
                    <c:v>7.7947392619099239E-11</c:v>
                  </c:pt>
                  <c:pt idx="143">
                    <c:v>8.6983241406534814E-11</c:v>
                  </c:pt>
                  <c:pt idx="144">
                    <c:v>8.8470682382896864E-11</c:v>
                  </c:pt>
                  <c:pt idx="145">
                    <c:v>1.0143268531897125E-10</c:v>
                  </c:pt>
                  <c:pt idx="146">
                    <c:v>9.7008456886826458E-11</c:v>
                  </c:pt>
                  <c:pt idx="147">
                    <c:v>1.0700512887540818E-10</c:v>
                  </c:pt>
                  <c:pt idx="148">
                    <c:v>8.7489805538497768E-11</c:v>
                  </c:pt>
                  <c:pt idx="149">
                    <c:v>8.726022005073718E-11</c:v>
                  </c:pt>
                  <c:pt idx="150">
                    <c:v>8.5948373347545126E-11</c:v>
                  </c:pt>
                  <c:pt idx="151">
                    <c:v>8.3587735289575185E-11</c:v>
                  </c:pt>
                  <c:pt idx="152">
                    <c:v>7.7774419862238186E-11</c:v>
                  </c:pt>
                  <c:pt idx="153">
                    <c:v>7.9552476874822539E-11</c:v>
                  </c:pt>
                  <c:pt idx="154">
                    <c:v>7.5992438200022908E-11</c:v>
                  </c:pt>
                  <c:pt idx="155">
                    <c:v>8.7462791650654599E-11</c:v>
                  </c:pt>
                  <c:pt idx="156">
                    <c:v>9.4945193471199484E-11</c:v>
                  </c:pt>
                  <c:pt idx="157">
                    <c:v>1.0331827861695257E-10</c:v>
                  </c:pt>
                  <c:pt idx="158">
                    <c:v>1.1128925383142556E-10</c:v>
                  </c:pt>
                  <c:pt idx="159">
                    <c:v>1.1398369995109285E-10</c:v>
                  </c:pt>
                  <c:pt idx="160">
                    <c:v>1.1830784371086124E-10</c:v>
                  </c:pt>
                  <c:pt idx="161">
                    <c:v>1.12321186441377E-10</c:v>
                  </c:pt>
                  <c:pt idx="162">
                    <c:v>1.0945527927330176E-10</c:v>
                  </c:pt>
                  <c:pt idx="163">
                    <c:v>1.1876448716026859E-10</c:v>
                  </c:pt>
                  <c:pt idx="164">
                    <c:v>1.1217730172290256E-10</c:v>
                  </c:pt>
                  <c:pt idx="165">
                    <c:v>1.1254522901888263E-10</c:v>
                  </c:pt>
                  <c:pt idx="166">
                    <c:v>9.0559026921306815E-11</c:v>
                  </c:pt>
                  <c:pt idx="167">
                    <c:v>1.0891181621769855E-10</c:v>
                  </c:pt>
                  <c:pt idx="168">
                    <c:v>9.9754362556542796E-11</c:v>
                  </c:pt>
                  <c:pt idx="169">
                    <c:v>5.5739941050519472E-11</c:v>
                  </c:pt>
                  <c:pt idx="170">
                    <c:v>5.6336271022963906E-11</c:v>
                  </c:pt>
                  <c:pt idx="171">
                    <c:v>6.1448960416529485E-11</c:v>
                  </c:pt>
                  <c:pt idx="172">
                    <c:v>6.1606101861575893E-11</c:v>
                  </c:pt>
                  <c:pt idx="173">
                    <c:v>6.4526067712597958E-11</c:v>
                  </c:pt>
                  <c:pt idx="174">
                    <c:v>5.9447689854870473E-11</c:v>
                  </c:pt>
                  <c:pt idx="175">
                    <c:v>4.9658788118715169E-11</c:v>
                  </c:pt>
                  <c:pt idx="176">
                    <c:v>4.9814629051014455E-11</c:v>
                  </c:pt>
                  <c:pt idx="177">
                    <c:v>5.0277772917207693E-11</c:v>
                  </c:pt>
                  <c:pt idx="178">
                    <c:v>5.2595313498759123E-11</c:v>
                  </c:pt>
                  <c:pt idx="179">
                    <c:v>5.3815203679827173E-11</c:v>
                  </c:pt>
                  <c:pt idx="180">
                    <c:v>5.8957241643738409E-11</c:v>
                  </c:pt>
                  <c:pt idx="181">
                    <c:v>5.9638156487255207E-11</c:v>
                  </c:pt>
                  <c:pt idx="182">
                    <c:v>5.8255470749875889E-11</c:v>
                  </c:pt>
                  <c:pt idx="183">
                    <c:v>6.3977968584827238E-11</c:v>
                  </c:pt>
                  <c:pt idx="184">
                    <c:v>6.6860801820590832E-11</c:v>
                  </c:pt>
                  <c:pt idx="185">
                    <c:v>6.5367852220060639E-11</c:v>
                  </c:pt>
                  <c:pt idx="186">
                    <c:v>7.0957375693906678E-11</c:v>
                  </c:pt>
                  <c:pt idx="187">
                    <c:v>6.204219153957174E-11</c:v>
                  </c:pt>
                  <c:pt idx="188">
                    <c:v>6.6964975709472737E-11</c:v>
                  </c:pt>
                  <c:pt idx="189">
                    <c:v>7.2900059740195246E-11</c:v>
                  </c:pt>
                  <c:pt idx="190">
                    <c:v>6.7759133520256478E-11</c:v>
                  </c:pt>
                  <c:pt idx="191">
                    <c:v>7.2131626746505076E-11</c:v>
                  </c:pt>
                  <c:pt idx="192">
                    <c:v>8.4658201266812248E-11</c:v>
                  </c:pt>
                  <c:pt idx="193">
                    <c:v>8.2387526406297927E-11</c:v>
                  </c:pt>
                  <c:pt idx="194">
                    <c:v>7.9826991683406035E-11</c:v>
                  </c:pt>
                  <c:pt idx="195">
                    <c:v>7.3902361357451559E-11</c:v>
                  </c:pt>
                  <c:pt idx="196">
                    <c:v>7.3657555130860527E-11</c:v>
                  </c:pt>
                  <c:pt idx="197">
                    <c:v>7.7056081730609405E-11</c:v>
                  </c:pt>
                  <c:pt idx="198">
                    <c:v>7.53493022172852E-11</c:v>
                  </c:pt>
                  <c:pt idx="199">
                    <c:v>9.3547568820612354E-11</c:v>
                  </c:pt>
                  <c:pt idx="200">
                    <c:v>8.3024085690452699E-11</c:v>
                  </c:pt>
                  <c:pt idx="201">
                    <c:v>9.1118691760550082E-11</c:v>
                  </c:pt>
                  <c:pt idx="202">
                    <c:v>9.8706766935056411E-11</c:v>
                  </c:pt>
                  <c:pt idx="203">
                    <c:v>8.9902331780463535E-11</c:v>
                  </c:pt>
                  <c:pt idx="204">
                    <c:v>9.0922925455710546E-11</c:v>
                  </c:pt>
                  <c:pt idx="205">
                    <c:v>9.4559033412453552E-11</c:v>
                  </c:pt>
                  <c:pt idx="206">
                    <c:v>1.0128422929684354E-10</c:v>
                  </c:pt>
                  <c:pt idx="207">
                    <c:v>1.0759165031643574E-10</c:v>
                  </c:pt>
                  <c:pt idx="208">
                    <c:v>1.1332656404513284E-10</c:v>
                  </c:pt>
                  <c:pt idx="209">
                    <c:v>1.0861692363093834E-10</c:v>
                  </c:pt>
                  <c:pt idx="210">
                    <c:v>1.1864239002922441E-10</c:v>
                  </c:pt>
                  <c:pt idx="211">
                    <c:v>1.2181928207044367E-10</c:v>
                  </c:pt>
                  <c:pt idx="212">
                    <c:v>1.2458560542619436E-10</c:v>
                  </c:pt>
                  <c:pt idx="213">
                    <c:v>1.3260140280882954E-10</c:v>
                  </c:pt>
                  <c:pt idx="214">
                    <c:v>1.141221599444326E-10</c:v>
                  </c:pt>
                  <c:pt idx="215">
                    <c:v>1.1613324729415684E-10</c:v>
                  </c:pt>
                  <c:pt idx="216">
                    <c:v>1.2401814398336513E-10</c:v>
                  </c:pt>
                  <c:pt idx="217">
                    <c:v>1.3415209948528781E-10</c:v>
                  </c:pt>
                  <c:pt idx="218">
                    <c:v>1.4041721971654414E-10</c:v>
                  </c:pt>
                  <c:pt idx="219">
                    <c:v>1.3088629192143364E-10</c:v>
                  </c:pt>
                  <c:pt idx="220">
                    <c:v>1.3616332509320785E-10</c:v>
                  </c:pt>
                  <c:pt idx="221">
                    <c:v>1.2799640637893878E-10</c:v>
                  </c:pt>
                  <c:pt idx="222">
                    <c:v>1.3650683174037063E-10</c:v>
                  </c:pt>
                  <c:pt idx="223">
                    <c:v>1.4581588545248684E-10</c:v>
                  </c:pt>
                  <c:pt idx="224">
                    <c:v>1.6109286545463661E-10</c:v>
                  </c:pt>
                  <c:pt idx="225">
                    <c:v>1.5451072821119441E-10</c:v>
                  </c:pt>
                  <c:pt idx="226">
                    <c:v>1.6214934363581069E-10</c:v>
                  </c:pt>
                  <c:pt idx="227">
                    <c:v>1.4531716625340738E-10</c:v>
                  </c:pt>
                  <c:pt idx="228">
                    <c:v>1.5978875186790202E-10</c:v>
                  </c:pt>
                  <c:pt idx="229">
                    <c:v>1.6697271682303531E-10</c:v>
                  </c:pt>
                  <c:pt idx="230">
                    <c:v>1.6014793915353143E-10</c:v>
                  </c:pt>
                  <c:pt idx="231">
                    <c:v>1.79942894983991E-10</c:v>
                  </c:pt>
                  <c:pt idx="232">
                    <c:v>1.537743055490903E-10</c:v>
                  </c:pt>
                  <c:pt idx="233">
                    <c:v>1.8901091001637117E-10</c:v>
                  </c:pt>
                  <c:pt idx="234">
                    <c:v>1.8490316470907341E-10</c:v>
                  </c:pt>
                  <c:pt idx="235">
                    <c:v>1.9711996064761197E-10</c:v>
                  </c:pt>
                  <c:pt idx="236">
                    <c:v>1.8633281577620178E-10</c:v>
                  </c:pt>
                  <c:pt idx="237">
                    <c:v>1.0030460052243987E-10</c:v>
                  </c:pt>
                  <c:pt idx="238">
                    <c:v>9.4142268229352706E-11</c:v>
                  </c:pt>
                  <c:pt idx="239">
                    <c:v>9.7184187928764079E-11</c:v>
                  </c:pt>
                  <c:pt idx="240">
                    <c:v>9.8039268873347135E-11</c:v>
                  </c:pt>
                  <c:pt idx="241">
                    <c:v>9.3495451649796607E-11</c:v>
                  </c:pt>
                  <c:pt idx="242">
                    <c:v>9.8574823208766584E-11</c:v>
                  </c:pt>
                  <c:pt idx="243">
                    <c:v>9.0155350498320762E-11</c:v>
                  </c:pt>
                  <c:pt idx="244">
                    <c:v>1.0332869984528703E-10</c:v>
                  </c:pt>
                  <c:pt idx="245">
                    <c:v>1.0192331474936836E-10</c:v>
                  </c:pt>
                  <c:pt idx="246">
                    <c:v>1.0264242947335795E-10</c:v>
                  </c:pt>
                  <c:pt idx="247">
                    <c:v>1.028681016610785E-10</c:v>
                  </c:pt>
                  <c:pt idx="248">
                    <c:v>1.0852785549109131E-10</c:v>
                  </c:pt>
                  <c:pt idx="249">
                    <c:v>1.0362546381919445E-10</c:v>
                  </c:pt>
                  <c:pt idx="250">
                    <c:v>1.0483780222770486E-10</c:v>
                  </c:pt>
                  <c:pt idx="251">
                    <c:v>1.0936120288353341E-10</c:v>
                  </c:pt>
                  <c:pt idx="252">
                    <c:v>1.2083104655351681E-10</c:v>
                  </c:pt>
                  <c:pt idx="253">
                    <c:v>1.1813860564298539E-10</c:v>
                  </c:pt>
                  <c:pt idx="254">
                    <c:v>1.2780142741501455E-10</c:v>
                  </c:pt>
                  <c:pt idx="255">
                    <c:v>1.2558943339233999E-10</c:v>
                  </c:pt>
                  <c:pt idx="256">
                    <c:v>1.258980489896261E-10</c:v>
                  </c:pt>
                  <c:pt idx="257">
                    <c:v>1.4864626330851311E-10</c:v>
                  </c:pt>
                  <c:pt idx="258">
                    <c:v>1.2589054403585729E-10</c:v>
                  </c:pt>
                  <c:pt idx="259">
                    <c:v>1.427064967510196E-10</c:v>
                  </c:pt>
                  <c:pt idx="260">
                    <c:v>1.4292721096461264E-10</c:v>
                  </c:pt>
                  <c:pt idx="261">
                    <c:v>1.5181173278432861E-10</c:v>
                  </c:pt>
                  <c:pt idx="262">
                    <c:v>1.5006765634338829E-10</c:v>
                  </c:pt>
                  <c:pt idx="263">
                    <c:v>1.3626253323130497E-10</c:v>
                  </c:pt>
                  <c:pt idx="264">
                    <c:v>1.5278378762349575E-10</c:v>
                  </c:pt>
                  <c:pt idx="265">
                    <c:v>1.6266183094391169E-10</c:v>
                  </c:pt>
                  <c:pt idx="266">
                    <c:v>1.5557275366672843E-10</c:v>
                  </c:pt>
                  <c:pt idx="267">
                    <c:v>1.7257999941820602E-10</c:v>
                  </c:pt>
                  <c:pt idx="268">
                    <c:v>1.5863452545901236E-10</c:v>
                  </c:pt>
                  <c:pt idx="269">
                    <c:v>1.6777646489277574E-10</c:v>
                  </c:pt>
                  <c:pt idx="270">
                    <c:v>1.7811307072621791E-10</c:v>
                  </c:pt>
                  <c:pt idx="271">
                    <c:v>1.6430526166222844E-10</c:v>
                  </c:pt>
                  <c:pt idx="272">
                    <c:v>1.9226801540282031E-10</c:v>
                  </c:pt>
                  <c:pt idx="273">
                    <c:v>1.9346462016341271E-10</c:v>
                  </c:pt>
                  <c:pt idx="274">
                    <c:v>2.1158345264295137E-10</c:v>
                  </c:pt>
                  <c:pt idx="275">
                    <c:v>2.159159578617806E-10</c:v>
                  </c:pt>
                  <c:pt idx="276">
                    <c:v>2.1355120717212862E-10</c:v>
                  </c:pt>
                  <c:pt idx="277">
                    <c:v>1.9545744562750168E-10</c:v>
                  </c:pt>
                  <c:pt idx="278">
                    <c:v>2.2676976550865119E-10</c:v>
                  </c:pt>
                  <c:pt idx="279">
                    <c:v>2.0329941415942332E-10</c:v>
                  </c:pt>
                  <c:pt idx="280">
                    <c:v>2.4435658859743047E-10</c:v>
                  </c:pt>
                  <c:pt idx="281">
                    <c:v>2.3408681513259151E-10</c:v>
                  </c:pt>
                  <c:pt idx="282">
                    <c:v>2.1850063122548463E-10</c:v>
                  </c:pt>
                  <c:pt idx="283">
                    <c:v>2.3040162441916254E-10</c:v>
                  </c:pt>
                  <c:pt idx="284">
                    <c:v>2.1881408173641937E-10</c:v>
                  </c:pt>
                  <c:pt idx="285">
                    <c:v>2.4166716155911734E-10</c:v>
                  </c:pt>
                  <c:pt idx="286">
                    <c:v>2.5783186169676079E-10</c:v>
                  </c:pt>
                  <c:pt idx="287">
                    <c:v>2.4990153163185718E-10</c:v>
                  </c:pt>
                  <c:pt idx="288">
                    <c:v>2.4578190959603144E-10</c:v>
                  </c:pt>
                  <c:pt idx="289">
                    <c:v>2.3115077490206674E-10</c:v>
                  </c:pt>
                  <c:pt idx="290">
                    <c:v>2.6153721813158184E-10</c:v>
                  </c:pt>
                  <c:pt idx="291">
                    <c:v>2.8396946452289856E-10</c:v>
                  </c:pt>
                  <c:pt idx="292">
                    <c:v>2.8298150330561799E-10</c:v>
                  </c:pt>
                  <c:pt idx="293">
                    <c:v>2.7821818016454753E-10</c:v>
                  </c:pt>
                  <c:pt idx="294">
                    <c:v>2.8537695800546246E-10</c:v>
                  </c:pt>
                  <c:pt idx="295">
                    <c:v>2.8003248958125666E-10</c:v>
                  </c:pt>
                  <c:pt idx="296">
                    <c:v>3.0488128934962613E-10</c:v>
                  </c:pt>
                  <c:pt idx="297">
                    <c:v>2.8799194219661711E-10</c:v>
                  </c:pt>
                  <c:pt idx="298">
                    <c:v>3.1043438503962921E-10</c:v>
                  </c:pt>
                  <c:pt idx="299">
                    <c:v>3.6012095965726565E-10</c:v>
                  </c:pt>
                  <c:pt idx="300">
                    <c:v>3.1154442402460574E-10</c:v>
                  </c:pt>
                  <c:pt idx="301">
                    <c:v>3.3819473321971004E-10</c:v>
                  </c:pt>
                  <c:pt idx="302">
                    <c:v>3.448167288344377E-10</c:v>
                  </c:pt>
                  <c:pt idx="303">
                    <c:v>3.4433715880862049E-10</c:v>
                  </c:pt>
                  <c:pt idx="304">
                    <c:v>3.3457770672307327E-10</c:v>
                  </c:pt>
                  <c:pt idx="305">
                    <c:v>3.5973581454247065E-10</c:v>
                  </c:pt>
                  <c:pt idx="306">
                    <c:v>3.7739116354531428E-10</c:v>
                  </c:pt>
                  <c:pt idx="307">
                    <c:v>3.7674103497744919E-10</c:v>
                  </c:pt>
                  <c:pt idx="308">
                    <c:v>4.1026784455110179E-10</c:v>
                  </c:pt>
                  <c:pt idx="309">
                    <c:v>4.3303499808735803E-10</c:v>
                  </c:pt>
                  <c:pt idx="310">
                    <c:v>3.9062683326522466E-10</c:v>
                  </c:pt>
                  <c:pt idx="311">
                    <c:v>4.53473541521887E-10</c:v>
                  </c:pt>
                  <c:pt idx="312">
                    <c:v>4.3031502325544655E-10</c:v>
                  </c:pt>
                  <c:pt idx="313">
                    <c:v>4.6671029085152349E-10</c:v>
                  </c:pt>
                  <c:pt idx="314">
                    <c:v>5.3765543951552366E-10</c:v>
                  </c:pt>
                  <c:pt idx="315">
                    <c:v>4.8259399764257612E-10</c:v>
                  </c:pt>
                  <c:pt idx="316">
                    <c:v>5.413141493900899E-10</c:v>
                  </c:pt>
                  <c:pt idx="317">
                    <c:v>5.0521368739801772E-10</c:v>
                  </c:pt>
                  <c:pt idx="318">
                    <c:v>5.2999763594860012E-10</c:v>
                  </c:pt>
                  <c:pt idx="319">
                    <c:v>5.0137593063462015E-10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  <c:pt idx="319">
                  <c:v>0.19954661528600001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5.5720545754262683E-9</c:v>
                </c:pt>
                <c:pt idx="1">
                  <c:v>5.251097735319143E-9</c:v>
                </c:pt>
                <c:pt idx="2">
                  <c:v>5.5817400253068503E-9</c:v>
                </c:pt>
                <c:pt idx="3">
                  <c:v>4.9006773735064349E-9</c:v>
                </c:pt>
                <c:pt idx="4">
                  <c:v>5.7591400218250501E-9</c:v>
                </c:pt>
                <c:pt idx="5">
                  <c:v>5.8840327651112461E-9</c:v>
                </c:pt>
                <c:pt idx="6">
                  <c:v>6.1662790231550643E-9</c:v>
                </c:pt>
                <c:pt idx="7">
                  <c:v>7.3160478623982639E-9</c:v>
                </c:pt>
                <c:pt idx="8">
                  <c:v>6.8851699902362815E-9</c:v>
                </c:pt>
                <c:pt idx="9">
                  <c:v>7.2058590852078226E-9</c:v>
                </c:pt>
                <c:pt idx="10">
                  <c:v>5.3822325461144352E-9</c:v>
                </c:pt>
                <c:pt idx="11">
                  <c:v>7.9431512933365298E-9</c:v>
                </c:pt>
                <c:pt idx="12">
                  <c:v>8.3267471634280418E-9</c:v>
                </c:pt>
                <c:pt idx="13">
                  <c:v>8.3496050421795063E-9</c:v>
                </c:pt>
                <c:pt idx="14">
                  <c:v>8.522670387621006E-9</c:v>
                </c:pt>
                <c:pt idx="15">
                  <c:v>7.872344762618785E-9</c:v>
                </c:pt>
                <c:pt idx="16">
                  <c:v>9.3929320103504944E-9</c:v>
                </c:pt>
                <c:pt idx="17">
                  <c:v>9.4596716734621546E-9</c:v>
                </c:pt>
                <c:pt idx="18">
                  <c:v>9.1645430432360155E-9</c:v>
                </c:pt>
                <c:pt idx="19">
                  <c:v>8.9083874005061242E-9</c:v>
                </c:pt>
                <c:pt idx="20">
                  <c:v>7.6849662158143233E-9</c:v>
                </c:pt>
                <c:pt idx="21">
                  <c:v>6.5249732745305145E-9</c:v>
                </c:pt>
                <c:pt idx="22">
                  <c:v>5.4900727228808562E-9</c:v>
                </c:pt>
                <c:pt idx="23">
                  <c:v>5.1127651020023201E-9</c:v>
                </c:pt>
                <c:pt idx="24">
                  <c:v>4.8493898909071397E-9</c:v>
                </c:pt>
                <c:pt idx="25">
                  <c:v>4.3942881167118024E-9</c:v>
                </c:pt>
                <c:pt idx="26">
                  <c:v>5.0635515028051531E-9</c:v>
                </c:pt>
                <c:pt idx="27">
                  <c:v>5.3573043698838187E-9</c:v>
                </c:pt>
                <c:pt idx="28">
                  <c:v>4.3265672349643213E-9</c:v>
                </c:pt>
                <c:pt idx="29">
                  <c:v>4.3651306443968266E-9</c:v>
                </c:pt>
                <c:pt idx="30">
                  <c:v>4.5085868282581464E-9</c:v>
                </c:pt>
                <c:pt idx="31">
                  <c:v>4.1745559668512408E-9</c:v>
                </c:pt>
                <c:pt idx="32">
                  <c:v>3.8277752334585871E-9</c:v>
                </c:pt>
                <c:pt idx="33">
                  <c:v>3.630222435071679E-9</c:v>
                </c:pt>
                <c:pt idx="34">
                  <c:v>3.6094817502780588E-9</c:v>
                </c:pt>
                <c:pt idx="35">
                  <c:v>3.1606371527082231E-9</c:v>
                </c:pt>
                <c:pt idx="36">
                  <c:v>2.5973701868331662E-9</c:v>
                </c:pt>
                <c:pt idx="37">
                  <c:v>2.1247164426817187E-9</c:v>
                </c:pt>
                <c:pt idx="38">
                  <c:v>1.8031297933513477E-9</c:v>
                </c:pt>
                <c:pt idx="39">
                  <c:v>1.8323015124240673E-9</c:v>
                </c:pt>
                <c:pt idx="40">
                  <c:v>1.3634926220504592E-9</c:v>
                </c:pt>
                <c:pt idx="41">
                  <c:v>1.3726005869471145E-9</c:v>
                </c:pt>
                <c:pt idx="42">
                  <c:v>1.2493769985049289E-9</c:v>
                </c:pt>
                <c:pt idx="43">
                  <c:v>9.5508714377300314E-10</c:v>
                </c:pt>
                <c:pt idx="44">
                  <c:v>9.1421126457130449E-10</c:v>
                </c:pt>
                <c:pt idx="45">
                  <c:v>9.0801354508119442E-10</c:v>
                </c:pt>
                <c:pt idx="46">
                  <c:v>1.1145474426595639E-9</c:v>
                </c:pt>
                <c:pt idx="47">
                  <c:v>8.6806558819966382E-10</c:v>
                </c:pt>
                <c:pt idx="48">
                  <c:v>1.0083319285256602E-9</c:v>
                </c:pt>
                <c:pt idx="49">
                  <c:v>1.1968675792292399E-9</c:v>
                </c:pt>
                <c:pt idx="50">
                  <c:v>1.1586994199108672E-9</c:v>
                </c:pt>
                <c:pt idx="51">
                  <c:v>1.321282844349143E-9</c:v>
                </c:pt>
                <c:pt idx="52">
                  <c:v>1.392274046520722E-9</c:v>
                </c:pt>
                <c:pt idx="53">
                  <c:v>1.5127470027137422E-9</c:v>
                </c:pt>
                <c:pt idx="54">
                  <c:v>1.5253359476213311E-9</c:v>
                </c:pt>
                <c:pt idx="55">
                  <c:v>1.6721419479766941E-9</c:v>
                </c:pt>
                <c:pt idx="56">
                  <c:v>1.9189518056913831E-9</c:v>
                </c:pt>
                <c:pt idx="57">
                  <c:v>1.4796577359034078E-9</c:v>
                </c:pt>
                <c:pt idx="58">
                  <c:v>1.9664874346821655E-9</c:v>
                </c:pt>
                <c:pt idx="59">
                  <c:v>1.7755911354875616E-9</c:v>
                </c:pt>
                <c:pt idx="60">
                  <c:v>1.6527976786976884E-9</c:v>
                </c:pt>
                <c:pt idx="61">
                  <c:v>1.7278894634512324E-9</c:v>
                </c:pt>
                <c:pt idx="62">
                  <c:v>1.5199278496580918E-9</c:v>
                </c:pt>
                <c:pt idx="63">
                  <c:v>1.8968061191928937E-9</c:v>
                </c:pt>
                <c:pt idx="64">
                  <c:v>1.4845419159271289E-9</c:v>
                </c:pt>
                <c:pt idx="65">
                  <c:v>1.4586790362429835E-9</c:v>
                </c:pt>
                <c:pt idx="66">
                  <c:v>1.2162190795950126E-9</c:v>
                </c:pt>
                <c:pt idx="67">
                  <c:v>1.139741142703706E-9</c:v>
                </c:pt>
                <c:pt idx="68">
                  <c:v>9.2441166380669011E-10</c:v>
                </c:pt>
                <c:pt idx="69">
                  <c:v>9.6616384570259436E-10</c:v>
                </c:pt>
                <c:pt idx="70">
                  <c:v>6.9255690823559059E-10</c:v>
                </c:pt>
                <c:pt idx="71">
                  <c:v>7.5036602383290351E-10</c:v>
                </c:pt>
                <c:pt idx="72">
                  <c:v>7.6158291528911537E-10</c:v>
                </c:pt>
                <c:pt idx="73">
                  <c:v>7.8437792245437224E-10</c:v>
                </c:pt>
                <c:pt idx="74">
                  <c:v>7.5154998028709999E-10</c:v>
                </c:pt>
                <c:pt idx="75">
                  <c:v>7.5234316797691657E-10</c:v>
                </c:pt>
                <c:pt idx="76">
                  <c:v>7.6706234876992107E-10</c:v>
                </c:pt>
                <c:pt idx="77">
                  <c:v>6.483228518776647E-10</c:v>
                </c:pt>
                <c:pt idx="78">
                  <c:v>1.0107103979102374E-9</c:v>
                </c:pt>
                <c:pt idx="79">
                  <c:v>1.0865761827204861E-9</c:v>
                </c:pt>
                <c:pt idx="80">
                  <c:v>1.1539867274551809E-9</c:v>
                </c:pt>
                <c:pt idx="81">
                  <c:v>1.035936764261378E-9</c:v>
                </c:pt>
                <c:pt idx="82">
                  <c:v>1.2822868306070547E-9</c:v>
                </c:pt>
                <c:pt idx="83">
                  <c:v>1.2700456446446588E-9</c:v>
                </c:pt>
                <c:pt idx="84">
                  <c:v>1.3908782017251204E-9</c:v>
                </c:pt>
                <c:pt idx="85">
                  <c:v>1.3039527460846807E-9</c:v>
                </c:pt>
                <c:pt idx="86">
                  <c:v>1.8189511742898766E-9</c:v>
                </c:pt>
                <c:pt idx="87">
                  <c:v>1.5545127566805028E-9</c:v>
                </c:pt>
                <c:pt idx="88">
                  <c:v>1.5075870067895771E-9</c:v>
                </c:pt>
                <c:pt idx="89">
                  <c:v>1.736372095651759E-9</c:v>
                </c:pt>
                <c:pt idx="90">
                  <c:v>1.3780521197586297E-9</c:v>
                </c:pt>
                <c:pt idx="91">
                  <c:v>1.1610581562337222E-9</c:v>
                </c:pt>
                <c:pt idx="92">
                  <c:v>1.0704050803136566E-9</c:v>
                </c:pt>
                <c:pt idx="93">
                  <c:v>1.1114912789218778E-9</c:v>
                </c:pt>
                <c:pt idx="94">
                  <c:v>9.9591050962676776E-10</c:v>
                </c:pt>
                <c:pt idx="95">
                  <c:v>8.6230672681310875E-10</c:v>
                </c:pt>
                <c:pt idx="96">
                  <c:v>6.7191869084044306E-10</c:v>
                </c:pt>
                <c:pt idx="97">
                  <c:v>7.0925734806787853E-10</c:v>
                </c:pt>
                <c:pt idx="98">
                  <c:v>5.823492671460625E-10</c:v>
                </c:pt>
                <c:pt idx="99">
                  <c:v>3.8704628385672516E-10</c:v>
                </c:pt>
                <c:pt idx="100">
                  <c:v>3.9346857863597474E-10</c:v>
                </c:pt>
                <c:pt idx="101">
                  <c:v>4.7372952440943619E-10</c:v>
                </c:pt>
                <c:pt idx="102">
                  <c:v>5.0783139595290276E-10</c:v>
                </c:pt>
                <c:pt idx="103">
                  <c:v>6.5340214706479044E-10</c:v>
                </c:pt>
                <c:pt idx="104">
                  <c:v>8.288589390485628E-10</c:v>
                </c:pt>
                <c:pt idx="105">
                  <c:v>9.4006396993173347E-10</c:v>
                </c:pt>
                <c:pt idx="106">
                  <c:v>1.1179876972501411E-9</c:v>
                </c:pt>
                <c:pt idx="107">
                  <c:v>1.3699658644867455E-9</c:v>
                </c:pt>
                <c:pt idx="108">
                  <c:v>1.2960324013652021E-9</c:v>
                </c:pt>
                <c:pt idx="109">
                  <c:v>1.2990399154871037E-9</c:v>
                </c:pt>
                <c:pt idx="110">
                  <c:v>1.5032734839793123E-9</c:v>
                </c:pt>
                <c:pt idx="111">
                  <c:v>1.4619613846061086E-9</c:v>
                </c:pt>
                <c:pt idx="112">
                  <c:v>1.4109377065645851E-9</c:v>
                </c:pt>
                <c:pt idx="113">
                  <c:v>1.3151845149796422E-9</c:v>
                </c:pt>
                <c:pt idx="114">
                  <c:v>1.1083298729293217E-9</c:v>
                </c:pt>
                <c:pt idx="115">
                  <c:v>9.1608742489540373E-10</c:v>
                </c:pt>
                <c:pt idx="116">
                  <c:v>8.9510853514301406E-10</c:v>
                </c:pt>
                <c:pt idx="117">
                  <c:v>6.5502942410356326E-10</c:v>
                </c:pt>
                <c:pt idx="118">
                  <c:v>6.1066262310735011E-10</c:v>
                </c:pt>
                <c:pt idx="119">
                  <c:v>5.3423802467380132E-10</c:v>
                </c:pt>
                <c:pt idx="120">
                  <c:v>4.6292468981710824E-10</c:v>
                </c:pt>
                <c:pt idx="121">
                  <c:v>5.5024969978749549E-10</c:v>
                </c:pt>
                <c:pt idx="122">
                  <c:v>5.4029116558947281E-10</c:v>
                </c:pt>
                <c:pt idx="123">
                  <c:v>6.9403740887771232E-10</c:v>
                </c:pt>
                <c:pt idx="124">
                  <c:v>6.9263229637110295E-10</c:v>
                </c:pt>
                <c:pt idx="125">
                  <c:v>8.1673020439893015E-10</c:v>
                </c:pt>
                <c:pt idx="126">
                  <c:v>9.8710323110961145E-10</c:v>
                </c:pt>
                <c:pt idx="127">
                  <c:v>1.15466904260645E-9</c:v>
                </c:pt>
                <c:pt idx="128">
                  <c:v>1.1799153426585274E-9</c:v>
                </c:pt>
                <c:pt idx="129">
                  <c:v>1.2188851714089261E-9</c:v>
                </c:pt>
                <c:pt idx="130">
                  <c:v>1.2398582166185521E-9</c:v>
                </c:pt>
                <c:pt idx="131">
                  <c:v>1.2347940144891724E-9</c:v>
                </c:pt>
                <c:pt idx="132">
                  <c:v>1.0416900373655469E-9</c:v>
                </c:pt>
                <c:pt idx="133">
                  <c:v>1.0476313725294672E-9</c:v>
                </c:pt>
                <c:pt idx="134">
                  <c:v>7.5769617198321471E-10</c:v>
                </c:pt>
                <c:pt idx="135">
                  <c:v>6.5204151665788375E-10</c:v>
                </c:pt>
                <c:pt idx="136">
                  <c:v>5.561483852833372E-10</c:v>
                </c:pt>
                <c:pt idx="137">
                  <c:v>5.3603603968291766E-10</c:v>
                </c:pt>
                <c:pt idx="138">
                  <c:v>4.9534795684388964E-10</c:v>
                </c:pt>
                <c:pt idx="139">
                  <c:v>4.2453585822062317E-10</c:v>
                </c:pt>
                <c:pt idx="140">
                  <c:v>5.2008624493091825E-10</c:v>
                </c:pt>
                <c:pt idx="141">
                  <c:v>7.6842801278781138E-10</c:v>
                </c:pt>
                <c:pt idx="142">
                  <c:v>7.7912713216602042E-10</c:v>
                </c:pt>
                <c:pt idx="143">
                  <c:v>8.9594246014036077E-10</c:v>
                </c:pt>
                <c:pt idx="144">
                  <c:v>9.6236974724866801E-10</c:v>
                </c:pt>
                <c:pt idx="145">
                  <c:v>1.0823829685972056E-9</c:v>
                </c:pt>
                <c:pt idx="146">
                  <c:v>1.0217805492678431E-9</c:v>
                </c:pt>
                <c:pt idx="147">
                  <c:v>1.2192554098441704E-9</c:v>
                </c:pt>
                <c:pt idx="148">
                  <c:v>8.7960074935357673E-10</c:v>
                </c:pt>
                <c:pt idx="149">
                  <c:v>8.3926574156965399E-10</c:v>
                </c:pt>
                <c:pt idx="150">
                  <c:v>7.7929195477180127E-10</c:v>
                </c:pt>
                <c:pt idx="151">
                  <c:v>6.8994882494209107E-10</c:v>
                </c:pt>
                <c:pt idx="152">
                  <c:v>5.8311527326109005E-10</c:v>
                </c:pt>
                <c:pt idx="153">
                  <c:v>5.9687029421313741E-10</c:v>
                </c:pt>
                <c:pt idx="154">
                  <c:v>5.0611438179912868E-10</c:v>
                </c:pt>
                <c:pt idx="155">
                  <c:v>7.0798773560653049E-10</c:v>
                </c:pt>
                <c:pt idx="156">
                  <c:v>8.4901257204401718E-10</c:v>
                </c:pt>
                <c:pt idx="157">
                  <c:v>8.9064348448824388E-10</c:v>
                </c:pt>
                <c:pt idx="158">
                  <c:v>9.6530573306025213E-10</c:v>
                </c:pt>
                <c:pt idx="159">
                  <c:v>1.0286790227209573E-9</c:v>
                </c:pt>
                <c:pt idx="160">
                  <c:v>1.1176838468374896E-9</c:v>
                </c:pt>
                <c:pt idx="161">
                  <c:v>9.3395718855961948E-10</c:v>
                </c:pt>
                <c:pt idx="162">
                  <c:v>8.386082261657107E-10</c:v>
                </c:pt>
                <c:pt idx="163">
                  <c:v>9.8277120729063538E-10</c:v>
                </c:pt>
                <c:pt idx="164">
                  <c:v>8.1954601239720192E-10</c:v>
                </c:pt>
                <c:pt idx="165">
                  <c:v>7.9858262214923054E-10</c:v>
                </c:pt>
                <c:pt idx="166">
                  <c:v>5.0088722017244662E-10</c:v>
                </c:pt>
                <c:pt idx="167">
                  <c:v>6.7444092212903816E-10</c:v>
                </c:pt>
                <c:pt idx="168">
                  <c:v>4.6045215315875177E-10</c:v>
                </c:pt>
                <c:pt idx="169">
                  <c:v>8.2458320366168119E-10</c:v>
                </c:pt>
                <c:pt idx="170">
                  <c:v>9.0107134514262234E-10</c:v>
                </c:pt>
                <c:pt idx="171">
                  <c:v>1.0233965537518515E-9</c:v>
                </c:pt>
                <c:pt idx="172">
                  <c:v>1.0374457332676887E-9</c:v>
                </c:pt>
                <c:pt idx="173">
                  <c:v>1.101046845853142E-9</c:v>
                </c:pt>
                <c:pt idx="174">
                  <c:v>9.6372097882024531E-10</c:v>
                </c:pt>
                <c:pt idx="175">
                  <c:v>7.0974042295342096E-10</c:v>
                </c:pt>
                <c:pt idx="176">
                  <c:v>6.7859303001777E-10</c:v>
                </c:pt>
                <c:pt idx="177">
                  <c:v>6.6463705275554178E-10</c:v>
                </c:pt>
                <c:pt idx="178">
                  <c:v>7.6112002587473043E-10</c:v>
                </c:pt>
                <c:pt idx="179">
                  <c:v>7.6406017359226009E-10</c:v>
                </c:pt>
                <c:pt idx="180">
                  <c:v>8.092014588131581E-10</c:v>
                </c:pt>
                <c:pt idx="181">
                  <c:v>8.8711038250347979E-10</c:v>
                </c:pt>
                <c:pt idx="182">
                  <c:v>8.6641755214003261E-10</c:v>
                </c:pt>
                <c:pt idx="183">
                  <c:v>9.7395685276687577E-10</c:v>
                </c:pt>
                <c:pt idx="184">
                  <c:v>1.0931077437044056E-9</c:v>
                </c:pt>
                <c:pt idx="185">
                  <c:v>9.4242046699478683E-10</c:v>
                </c:pt>
                <c:pt idx="186">
                  <c:v>9.7899309559680624E-10</c:v>
                </c:pt>
                <c:pt idx="187">
                  <c:v>7.4153987625958511E-10</c:v>
                </c:pt>
                <c:pt idx="188">
                  <c:v>8.770331076613558E-10</c:v>
                </c:pt>
                <c:pt idx="189">
                  <c:v>9.3025509698734321E-10</c:v>
                </c:pt>
                <c:pt idx="190">
                  <c:v>8.7106258980957025E-10</c:v>
                </c:pt>
                <c:pt idx="191">
                  <c:v>9.1882253282355707E-10</c:v>
                </c:pt>
                <c:pt idx="192">
                  <c:v>1.0976289313201166E-9</c:v>
                </c:pt>
                <c:pt idx="193">
                  <c:v>1.0930033776547463E-9</c:v>
                </c:pt>
                <c:pt idx="194">
                  <c:v>1.0334551556794715E-9</c:v>
                </c:pt>
                <c:pt idx="195">
                  <c:v>8.5716815561707911E-10</c:v>
                </c:pt>
                <c:pt idx="196">
                  <c:v>7.6607765286865873E-10</c:v>
                </c:pt>
                <c:pt idx="197">
                  <c:v>9.2853216904817355E-10</c:v>
                </c:pt>
                <c:pt idx="198">
                  <c:v>7.9614263623939982E-10</c:v>
                </c:pt>
                <c:pt idx="199">
                  <c:v>1.1898966295655851E-9</c:v>
                </c:pt>
                <c:pt idx="200">
                  <c:v>9.0502546885063844E-10</c:v>
                </c:pt>
                <c:pt idx="201">
                  <c:v>1.1009874867305808E-9</c:v>
                </c:pt>
                <c:pt idx="202">
                  <c:v>1.1778495321707475E-9</c:v>
                </c:pt>
                <c:pt idx="203">
                  <c:v>1.0161453911666007E-9</c:v>
                </c:pt>
                <c:pt idx="204">
                  <c:v>9.1711961498317667E-10</c:v>
                </c:pt>
                <c:pt idx="205">
                  <c:v>8.9679576939422361E-10</c:v>
                </c:pt>
                <c:pt idx="206">
                  <c:v>9.2990947244197113E-10</c:v>
                </c:pt>
                <c:pt idx="207">
                  <c:v>1.0013834069026739E-9</c:v>
                </c:pt>
                <c:pt idx="208">
                  <c:v>1.1172825012103624E-9</c:v>
                </c:pt>
                <c:pt idx="209">
                  <c:v>1.1220810977470463E-9</c:v>
                </c:pt>
                <c:pt idx="210">
                  <c:v>1.2040626165914472E-9</c:v>
                </c:pt>
                <c:pt idx="211">
                  <c:v>1.2803419883483874E-9</c:v>
                </c:pt>
                <c:pt idx="212">
                  <c:v>1.2134019220117527E-9</c:v>
                </c:pt>
                <c:pt idx="213">
                  <c:v>1.3743162408110668E-9</c:v>
                </c:pt>
                <c:pt idx="214">
                  <c:v>1.0591283629447524E-9</c:v>
                </c:pt>
                <c:pt idx="215">
                  <c:v>1.051274576576427E-9</c:v>
                </c:pt>
                <c:pt idx="216">
                  <c:v>1.2779063570428027E-9</c:v>
                </c:pt>
                <c:pt idx="217">
                  <c:v>1.3356484466699894E-9</c:v>
                </c:pt>
                <c:pt idx="218">
                  <c:v>1.3773965587686616E-9</c:v>
                </c:pt>
                <c:pt idx="219">
                  <c:v>1.2246976690284167E-9</c:v>
                </c:pt>
                <c:pt idx="220">
                  <c:v>1.3336284169339559E-9</c:v>
                </c:pt>
                <c:pt idx="221">
                  <c:v>1.0530952689129062E-9</c:v>
                </c:pt>
                <c:pt idx="222">
                  <c:v>1.2190959303023928E-9</c:v>
                </c:pt>
                <c:pt idx="223">
                  <c:v>1.27467452838822E-9</c:v>
                </c:pt>
                <c:pt idx="224">
                  <c:v>1.5648654551880414E-9</c:v>
                </c:pt>
                <c:pt idx="225">
                  <c:v>1.264089854145709E-9</c:v>
                </c:pt>
                <c:pt idx="226">
                  <c:v>1.3543640255394981E-9</c:v>
                </c:pt>
                <c:pt idx="227">
                  <c:v>1.1997838127138096E-9</c:v>
                </c:pt>
                <c:pt idx="228">
                  <c:v>1.3717653302910216E-9</c:v>
                </c:pt>
                <c:pt idx="229">
                  <c:v>1.3394455820641661E-9</c:v>
                </c:pt>
                <c:pt idx="230">
                  <c:v>1.2384777892168681E-9</c:v>
                </c:pt>
                <c:pt idx="231">
                  <c:v>1.4152926864321276E-9</c:v>
                </c:pt>
                <c:pt idx="232">
                  <c:v>1.1185016775971026E-9</c:v>
                </c:pt>
                <c:pt idx="233">
                  <c:v>1.5193429843618326E-9</c:v>
                </c:pt>
                <c:pt idx="234">
                  <c:v>1.4373824787622373E-9</c:v>
                </c:pt>
                <c:pt idx="235">
                  <c:v>1.6971799193571655E-9</c:v>
                </c:pt>
                <c:pt idx="236">
                  <c:v>1.373650081118967E-9</c:v>
                </c:pt>
                <c:pt idx="237">
                  <c:v>1.640484248113212E-9</c:v>
                </c:pt>
                <c:pt idx="238">
                  <c:v>1.5076866037979228E-9</c:v>
                </c:pt>
                <c:pt idx="239">
                  <c:v>1.5506142333489281E-9</c:v>
                </c:pt>
                <c:pt idx="240">
                  <c:v>1.564422349499164E-9</c:v>
                </c:pt>
                <c:pt idx="241">
                  <c:v>1.284728800338395E-9</c:v>
                </c:pt>
                <c:pt idx="242">
                  <c:v>1.543132879138321E-9</c:v>
                </c:pt>
                <c:pt idx="243">
                  <c:v>1.3529564801428029E-9</c:v>
                </c:pt>
                <c:pt idx="244">
                  <c:v>1.708267384894783E-9</c:v>
                </c:pt>
                <c:pt idx="245">
                  <c:v>1.6379306494750848E-9</c:v>
                </c:pt>
                <c:pt idx="246">
                  <c:v>1.7060437750485394E-9</c:v>
                </c:pt>
                <c:pt idx="247">
                  <c:v>1.6648374422935204E-9</c:v>
                </c:pt>
                <c:pt idx="248">
                  <c:v>1.7470361544845829E-9</c:v>
                </c:pt>
                <c:pt idx="249">
                  <c:v>1.5247011219736911E-9</c:v>
                </c:pt>
                <c:pt idx="250">
                  <c:v>1.7913849377068861E-9</c:v>
                </c:pt>
                <c:pt idx="251">
                  <c:v>1.6336352721742424E-9</c:v>
                </c:pt>
                <c:pt idx="252">
                  <c:v>1.7899294407978896E-9</c:v>
                </c:pt>
                <c:pt idx="253">
                  <c:v>1.6827855513364366E-9</c:v>
                </c:pt>
                <c:pt idx="254">
                  <c:v>1.8429021711820891E-9</c:v>
                </c:pt>
                <c:pt idx="255">
                  <c:v>1.9207376675058928E-9</c:v>
                </c:pt>
                <c:pt idx="256">
                  <c:v>1.7453469727328928E-9</c:v>
                </c:pt>
                <c:pt idx="257">
                  <c:v>2.1737672019751712E-9</c:v>
                </c:pt>
                <c:pt idx="258">
                  <c:v>1.7598630620022496E-9</c:v>
                </c:pt>
                <c:pt idx="259">
                  <c:v>2.0031845201707296E-9</c:v>
                </c:pt>
                <c:pt idx="260">
                  <c:v>1.7615124985360793E-9</c:v>
                </c:pt>
                <c:pt idx="261">
                  <c:v>2.0535377015801127E-9</c:v>
                </c:pt>
                <c:pt idx="262">
                  <c:v>2.2015692934898897E-9</c:v>
                </c:pt>
                <c:pt idx="263">
                  <c:v>1.6288489295644627E-9</c:v>
                </c:pt>
                <c:pt idx="264">
                  <c:v>2.0395799454454899E-9</c:v>
                </c:pt>
                <c:pt idx="265">
                  <c:v>2.0475034699734737E-9</c:v>
                </c:pt>
                <c:pt idx="266">
                  <c:v>2.0333009706422491E-9</c:v>
                </c:pt>
                <c:pt idx="267">
                  <c:v>2.2852032027320437E-9</c:v>
                </c:pt>
                <c:pt idx="268">
                  <c:v>1.9789838122654917E-9</c:v>
                </c:pt>
                <c:pt idx="269">
                  <c:v>1.9305206732983876E-9</c:v>
                </c:pt>
                <c:pt idx="270">
                  <c:v>2.2710675959306665E-9</c:v>
                </c:pt>
                <c:pt idx="271">
                  <c:v>1.800245307106222E-9</c:v>
                </c:pt>
                <c:pt idx="272">
                  <c:v>2.349945326202175E-9</c:v>
                </c:pt>
                <c:pt idx="273">
                  <c:v>1.9789764351366668E-9</c:v>
                </c:pt>
                <c:pt idx="274">
                  <c:v>2.1130199756613638E-9</c:v>
                </c:pt>
                <c:pt idx="275">
                  <c:v>2.2938836552500375E-9</c:v>
                </c:pt>
                <c:pt idx="276">
                  <c:v>2.3007062454847325E-9</c:v>
                </c:pt>
                <c:pt idx="277">
                  <c:v>1.7341648299407453E-9</c:v>
                </c:pt>
                <c:pt idx="278">
                  <c:v>2.4453263274123283E-9</c:v>
                </c:pt>
                <c:pt idx="279">
                  <c:v>1.9516869528514961E-9</c:v>
                </c:pt>
                <c:pt idx="280">
                  <c:v>2.6210214040631837E-9</c:v>
                </c:pt>
                <c:pt idx="281">
                  <c:v>2.2821637224613023E-9</c:v>
                </c:pt>
                <c:pt idx="282">
                  <c:v>1.9749947839165557E-9</c:v>
                </c:pt>
                <c:pt idx="283">
                  <c:v>2.3290412270755782E-9</c:v>
                </c:pt>
                <c:pt idx="284">
                  <c:v>1.7698024231514186E-9</c:v>
                </c:pt>
                <c:pt idx="285">
                  <c:v>2.272133523231767E-9</c:v>
                </c:pt>
                <c:pt idx="286">
                  <c:v>2.4994495840766483E-9</c:v>
                </c:pt>
                <c:pt idx="287">
                  <c:v>2.215154233609696E-9</c:v>
                </c:pt>
                <c:pt idx="288">
                  <c:v>1.8941920806260266E-9</c:v>
                </c:pt>
                <c:pt idx="289">
                  <c:v>1.4730126280496272E-9</c:v>
                </c:pt>
                <c:pt idx="290">
                  <c:v>2.0091862661413827E-9</c:v>
                </c:pt>
                <c:pt idx="291">
                  <c:v>2.5871078582437051E-9</c:v>
                </c:pt>
                <c:pt idx="292">
                  <c:v>2.0769379845126381E-9</c:v>
                </c:pt>
                <c:pt idx="293">
                  <c:v>2.1952619494906523E-9</c:v>
                </c:pt>
                <c:pt idx="294">
                  <c:v>2.4551756075272005E-9</c:v>
                </c:pt>
                <c:pt idx="295">
                  <c:v>2.1233338177313265E-9</c:v>
                </c:pt>
                <c:pt idx="296">
                  <c:v>2.5783893206966222E-9</c:v>
                </c:pt>
                <c:pt idx="297">
                  <c:v>1.81915409435421E-9</c:v>
                </c:pt>
                <c:pt idx="298">
                  <c:v>2.1889076263881295E-9</c:v>
                </c:pt>
                <c:pt idx="299">
                  <c:v>2.4556235101361295E-9</c:v>
                </c:pt>
                <c:pt idx="300">
                  <c:v>2.1055349757078278E-9</c:v>
                </c:pt>
                <c:pt idx="301">
                  <c:v>2.0585244391261829E-9</c:v>
                </c:pt>
                <c:pt idx="302">
                  <c:v>2.6579060006303831E-9</c:v>
                </c:pt>
                <c:pt idx="303">
                  <c:v>2.3777634406938365E-9</c:v>
                </c:pt>
                <c:pt idx="304">
                  <c:v>1.9076871705743194E-9</c:v>
                </c:pt>
                <c:pt idx="305">
                  <c:v>1.6603855308392048E-9</c:v>
                </c:pt>
                <c:pt idx="306">
                  <c:v>1.956137229908954E-9</c:v>
                </c:pt>
                <c:pt idx="307">
                  <c:v>1.5363112246000526E-9</c:v>
                </c:pt>
                <c:pt idx="308">
                  <c:v>2.263799826429435E-9</c:v>
                </c:pt>
                <c:pt idx="309">
                  <c:v>2.2731742855540835E-9</c:v>
                </c:pt>
                <c:pt idx="310">
                  <c:v>2.0328686067260076E-9</c:v>
                </c:pt>
                <c:pt idx="311">
                  <c:v>2.2174964072975982E-9</c:v>
                </c:pt>
                <c:pt idx="312">
                  <c:v>2.3471808738710821E-9</c:v>
                </c:pt>
                <c:pt idx="313">
                  <c:v>2.2284190452999268E-9</c:v>
                </c:pt>
                <c:pt idx="314">
                  <c:v>3.1788637636032361E-9</c:v>
                </c:pt>
                <c:pt idx="315">
                  <c:v>1.6095396976718873E-9</c:v>
                </c:pt>
                <c:pt idx="316">
                  <c:v>2.5268816778606457E-9</c:v>
                </c:pt>
                <c:pt idx="317">
                  <c:v>2.5249799184679157E-9</c:v>
                </c:pt>
                <c:pt idx="318">
                  <c:v>1.9668234075468686E-9</c:v>
                </c:pt>
                <c:pt idx="319">
                  <c:v>1.4359089515371184E-9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7.02E-02</c:v>
                </c:pt>
                <c:pt idx="215">
                  <c:v>7.09E-02</c:v>
                </c:pt>
                <c:pt idx="216">
                  <c:v>7.16E-02</c:v>
                </c:pt>
                <c:pt idx="217">
                  <c:v>7.23E-02</c:v>
                </c:pt>
                <c:pt idx="218">
                  <c:v>7.30E-02</c:v>
                </c:pt>
                <c:pt idx="219">
                  <c:v>7.38E-02</c:v>
                </c:pt>
                <c:pt idx="220">
                  <c:v>7.45E-02</c:v>
                </c:pt>
                <c:pt idx="221">
                  <c:v>7.53E-02</c:v>
                </c:pt>
                <c:pt idx="222">
                  <c:v>7.60E-02</c:v>
                </c:pt>
                <c:pt idx="223">
                  <c:v>7.68E-02</c:v>
                </c:pt>
                <c:pt idx="224">
                  <c:v>7.75E-02</c:v>
                </c:pt>
                <c:pt idx="225">
                  <c:v>7.83E-02</c:v>
                </c:pt>
                <c:pt idx="226">
                  <c:v>7.91E-02</c:v>
                </c:pt>
                <c:pt idx="227">
                  <c:v>7.99E-02</c:v>
                </c:pt>
                <c:pt idx="228">
                  <c:v>8.07E-02</c:v>
                </c:pt>
                <c:pt idx="229">
                  <c:v>8.15E-02</c:v>
                </c:pt>
                <c:pt idx="230">
                  <c:v>8.23E-02</c:v>
                </c:pt>
                <c:pt idx="231">
                  <c:v>8.31E-02</c:v>
                </c:pt>
                <c:pt idx="232">
                  <c:v>8.40E-02</c:v>
                </c:pt>
                <c:pt idx="233">
                  <c:v>8.48E-02</c:v>
                </c:pt>
                <c:pt idx="234">
                  <c:v>8.57E-02</c:v>
                </c:pt>
                <c:pt idx="235">
                  <c:v>8.65E-02</c:v>
                </c:pt>
                <c:pt idx="236">
                  <c:v>8.74E-02</c:v>
                </c:pt>
                <c:pt idx="237">
                  <c:v>8.82E-02</c:v>
                </c:pt>
                <c:pt idx="238">
                  <c:v>8.91E-02</c:v>
                </c:pt>
                <c:pt idx="239">
                  <c:v>9.00E-02</c:v>
                </c:pt>
                <c:pt idx="240">
                  <c:v>9.09E-02</c:v>
                </c:pt>
                <c:pt idx="241">
                  <c:v>9.18E-02</c:v>
                </c:pt>
                <c:pt idx="242">
                  <c:v>9.27E-02</c:v>
                </c:pt>
                <c:pt idx="243">
                  <c:v>9.37E-02</c:v>
                </c:pt>
                <c:pt idx="244">
                  <c:v>9.46E-02</c:v>
                </c:pt>
                <c:pt idx="245">
                  <c:v>9.56E-02</c:v>
                </c:pt>
                <c:pt idx="246">
                  <c:v>9.65E-02</c:v>
                </c:pt>
                <c:pt idx="247">
                  <c:v>9.75E-02</c:v>
                </c:pt>
                <c:pt idx="248">
                  <c:v>9.85E-02</c:v>
                </c:pt>
                <c:pt idx="249">
                  <c:v>9.94E-02</c:v>
                </c:pt>
                <c:pt idx="250">
                  <c:v>1.00E-01</c:v>
                </c:pt>
                <c:pt idx="251">
                  <c:v>1.01E-01</c:v>
                </c:pt>
                <c:pt idx="252">
                  <c:v>1.02E-01</c:v>
                </c:pt>
                <c:pt idx="253">
                  <c:v>1.03E-01</c:v>
                </c:pt>
                <c:pt idx="254">
                  <c:v>1.05E-01</c:v>
                </c:pt>
                <c:pt idx="255">
                  <c:v>1.06E-01</c:v>
                </c:pt>
                <c:pt idx="256">
                  <c:v>1.07E-01</c:v>
                </c:pt>
                <c:pt idx="257">
                  <c:v>1.08E-01</c:v>
                </c:pt>
                <c:pt idx="258">
                  <c:v>1.09E-01</c:v>
                </c:pt>
                <c:pt idx="259">
                  <c:v>1.10E-01</c:v>
                </c:pt>
                <c:pt idx="260">
                  <c:v>1.11E-01</c:v>
                </c:pt>
                <c:pt idx="261">
                  <c:v>1.12E-01</c:v>
                </c:pt>
                <c:pt idx="262">
                  <c:v>1.13E-01</c:v>
                </c:pt>
                <c:pt idx="263">
                  <c:v>1.14E-01</c:v>
                </c:pt>
                <c:pt idx="264">
                  <c:v>1.15E-01</c:v>
                </c:pt>
                <c:pt idx="265">
                  <c:v>1.17E-01</c:v>
                </c:pt>
                <c:pt idx="266">
                  <c:v>1.18E-01</c:v>
                </c:pt>
                <c:pt idx="267">
                  <c:v>1.19E-01</c:v>
                </c:pt>
                <c:pt idx="268">
                  <c:v>1.20E-01</c:v>
                </c:pt>
                <c:pt idx="269">
                  <c:v>1.21E-01</c:v>
                </c:pt>
                <c:pt idx="270">
                  <c:v>1.23E-01</c:v>
                </c:pt>
                <c:pt idx="271">
                  <c:v>1.24E-01</c:v>
                </c:pt>
                <c:pt idx="272">
                  <c:v>1.25E-01</c:v>
                </c:pt>
                <c:pt idx="273">
                  <c:v>1.26E-01</c:v>
                </c:pt>
                <c:pt idx="274">
                  <c:v>1.28E-01</c:v>
                </c:pt>
                <c:pt idx="275">
                  <c:v>1.29E-01</c:v>
                </c:pt>
                <c:pt idx="276">
                  <c:v>1.30E-01</c:v>
                </c:pt>
                <c:pt idx="277">
                  <c:v>1.31E-01</c:v>
                </c:pt>
                <c:pt idx="278">
                  <c:v>1.33E-01</c:v>
                </c:pt>
                <c:pt idx="279">
                  <c:v>1.34E-01</c:v>
                </c:pt>
                <c:pt idx="280">
                  <c:v>1.35E-01</c:v>
                </c:pt>
                <c:pt idx="281">
                  <c:v>1.37E-01</c:v>
                </c:pt>
                <c:pt idx="282">
                  <c:v>1.38E-01</c:v>
                </c:pt>
                <c:pt idx="283">
                  <c:v>1.39E-01</c:v>
                </c:pt>
                <c:pt idx="284">
                  <c:v>1.41E-01</c:v>
                </c:pt>
                <c:pt idx="285">
                  <c:v>1.42E-01</c:v>
                </c:pt>
                <c:pt idx="286">
                  <c:v>1.44E-01</c:v>
                </c:pt>
                <c:pt idx="287">
                  <c:v>1.45E-01</c:v>
                </c:pt>
                <c:pt idx="288">
                  <c:v>1.47E-01</c:v>
                </c:pt>
                <c:pt idx="289">
                  <c:v>1.48E-01</c:v>
                </c:pt>
                <c:pt idx="290">
                  <c:v>1.50E-01</c:v>
                </c:pt>
                <c:pt idx="291">
                  <c:v>1.51E-01</c:v>
                </c:pt>
                <c:pt idx="292">
                  <c:v>1.53E-01</c:v>
                </c:pt>
                <c:pt idx="293">
                  <c:v>1.54E-01</c:v>
                </c:pt>
                <c:pt idx="294">
                  <c:v>1.56E-01</c:v>
                </c:pt>
                <c:pt idx="295">
                  <c:v>1.57E-01</c:v>
                </c:pt>
                <c:pt idx="296">
                  <c:v>1.59E-01</c:v>
                </c:pt>
                <c:pt idx="297">
                  <c:v>1.60E-01</c:v>
                </c:pt>
                <c:pt idx="298">
                  <c:v>1.62E-01</c:v>
                </c:pt>
                <c:pt idx="299">
                  <c:v>1.64E-01</c:v>
                </c:pt>
                <c:pt idx="300">
                  <c:v>1.65E-01</c:v>
                </c:pt>
                <c:pt idx="301">
                  <c:v>1.67E-01</c:v>
                </c:pt>
                <c:pt idx="302">
                  <c:v>1.68E-01</c:v>
                </c:pt>
                <c:pt idx="303">
                  <c:v>1.70E-01</c:v>
                </c:pt>
                <c:pt idx="304">
                  <c:v>1.72E-01</c:v>
                </c:pt>
                <c:pt idx="305">
                  <c:v>1.74E-01</c:v>
                </c:pt>
                <c:pt idx="306">
                  <c:v>1.75E-01</c:v>
                </c:pt>
                <c:pt idx="307">
                  <c:v>1.77E-01</c:v>
                </c:pt>
                <c:pt idx="308">
                  <c:v>1.79E-01</c:v>
                </c:pt>
                <c:pt idx="309">
                  <c:v>1.81E-01</c:v>
                </c:pt>
                <c:pt idx="310">
                  <c:v>1.82E-01</c:v>
                </c:pt>
                <c:pt idx="311">
                  <c:v>1.84E-01</c:v>
                </c:pt>
                <c:pt idx="312">
                  <c:v>1.86E-01</c:v>
                </c:pt>
                <c:pt idx="313">
                  <c:v>1.88E-01</c:v>
                </c:pt>
                <c:pt idx="314">
                  <c:v>1.90E-01</c:v>
                </c:pt>
                <c:pt idx="315">
                  <c:v>1.92E-01</c:v>
                </c:pt>
                <c:pt idx="316">
                  <c:v>1.94E-01</c:v>
                </c:pt>
                <c:pt idx="317">
                  <c:v>1.96E-01</c:v>
                </c:pt>
                <c:pt idx="318">
                  <c:v>1.98E-01</c:v>
                </c:pt>
                <c:pt idx="319">
                  <c:v>2.00E-01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  <c:pt idx="319">
                  <c:v>0.19954661528600001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4.8500296058978109E-9</c:v>
                </c:pt>
                <c:pt idx="1">
                  <c:v>5.0468149183598984E-9</c:v>
                </c:pt>
                <c:pt idx="2">
                  <c:v>5.2515702247179012E-9</c:v>
                </c:pt>
                <c:pt idx="3">
                  <c:v>5.4646149013399326E-9</c:v>
                </c:pt>
                <c:pt idx="4">
                  <c:v>5.6862805023019829E-9</c:v>
                </c:pt>
                <c:pt idx="5">
                  <c:v>5.9169106381060971E-9</c:v>
                </c:pt>
                <c:pt idx="6">
                  <c:v>6.1568607251909621E-9</c:v>
                </c:pt>
                <c:pt idx="7">
                  <c:v>6.4064976094291437E-9</c:v>
                </c:pt>
                <c:pt idx="8">
                  <c:v>6.6661987226674144E-9</c:v>
                </c:pt>
                <c:pt idx="9">
                  <c:v>6.9363503875381238E-9</c:v>
                </c:pt>
                <c:pt idx="10">
                  <c:v>7.2173446073913551E-9</c:v>
                </c:pt>
                <c:pt idx="11">
                  <c:v>7.5095730431260426E-9</c:v>
                </c:pt>
                <c:pt idx="12">
                  <c:v>7.8134152958670486E-9</c:v>
                </c:pt>
                <c:pt idx="13">
                  <c:v>8.1292143545534564E-9</c:v>
                </c:pt>
                <c:pt idx="14">
                  <c:v>8.4572169136503931E-9</c:v>
                </c:pt>
                <c:pt idx="15">
                  <c:v>8.7960374567039855E-9</c:v>
                </c:pt>
                <c:pt idx="16">
                  <c:v>9.1320877109714177E-9</c:v>
                </c:pt>
                <c:pt idx="17">
                  <c:v>9.3893951512816005E-9</c:v>
                </c:pt>
                <c:pt idx="18">
                  <c:v>9.3420216753244683E-9</c:v>
                </c:pt>
                <c:pt idx="19">
                  <c:v>8.6964456767364704E-9</c:v>
                </c:pt>
                <c:pt idx="20">
                  <c:v>7.4943480871397644E-9</c:v>
                </c:pt>
                <c:pt idx="21">
                  <c:v>6.2448643069014561E-9</c:v>
                </c:pt>
                <c:pt idx="22">
                  <c:v>5.3950565592783248E-9</c:v>
                </c:pt>
                <c:pt idx="23">
                  <c:v>4.9644264423961787E-9</c:v>
                </c:pt>
                <c:pt idx="24">
                  <c:v>4.7594777894555299E-9</c:v>
                </c:pt>
                <c:pt idx="25">
                  <c:v>4.6311394867058444E-9</c:v>
                </c:pt>
                <c:pt idx="26">
                  <c:v>4.5145636879105338E-9</c:v>
                </c:pt>
                <c:pt idx="27">
                  <c:v>4.3851843387406484E-9</c:v>
                </c:pt>
                <c:pt idx="28">
                  <c:v>4.2350806363589128E-9</c:v>
                </c:pt>
                <c:pt idx="29">
                  <c:v>4.061491217782528E-9</c:v>
                </c:pt>
                <c:pt idx="30">
                  <c:v>3.8643966555715832E-9</c:v>
                </c:pt>
                <c:pt idx="31">
                  <c:v>3.6455734330708601E-9</c:v>
                </c:pt>
                <c:pt idx="32">
                  <c:v>3.4081737807558467E-9</c:v>
                </c:pt>
                <c:pt idx="33">
                  <c:v>3.1564719525404108E-9</c:v>
                </c:pt>
                <c:pt idx="34">
                  <c:v>2.8956456858928961E-9</c:v>
                </c:pt>
                <c:pt idx="35">
                  <c:v>2.6315407148090902E-9</c:v>
                </c:pt>
                <c:pt idx="36">
                  <c:v>2.3704019111732672E-9</c:v>
                </c:pt>
                <c:pt idx="37">
                  <c:v>2.118574456444169E-9</c:v>
                </c:pt>
                <c:pt idx="38">
                  <c:v>1.8821904748701527E-9</c:v>
                </c:pt>
                <c:pt idx="39">
                  <c:v>1.6668630748212249E-9</c:v>
                </c:pt>
                <c:pt idx="40">
                  <c:v>1.4774114234875038E-9</c:v>
                </c:pt>
                <c:pt idx="41">
                  <c:v>1.3176378703826058E-9</c:v>
                </c:pt>
                <c:pt idx="42">
                  <c:v>1.1901722329460265E-9</c:v>
                </c:pt>
                <c:pt idx="43">
                  <c:v>1.0963905832364906E-9</c:v>
                </c:pt>
                <c:pt idx="44">
                  <c:v>1.0361238820545442E-9</c:v>
                </c:pt>
                <c:pt idx="45">
                  <c:v>1.0089209080672867E-9</c:v>
                </c:pt>
                <c:pt idx="46">
                  <c:v>1.012245056729734E-9</c:v>
                </c:pt>
                <c:pt idx="47">
                  <c:v>1.0429774962283013E-9</c:v>
                </c:pt>
                <c:pt idx="48">
                  <c:v>1.0972346450223079E-9</c:v>
                </c:pt>
                <c:pt idx="49">
                  <c:v>1.1705527813512697E-9</c:v>
                </c:pt>
                <c:pt idx="50">
                  <c:v>1.2580723870699721E-9</c:v>
                </c:pt>
                <c:pt idx="51">
                  <c:v>1.3547149810928634E-9</c:v>
                </c:pt>
                <c:pt idx="52">
                  <c:v>1.4553482842343013E-9</c:v>
                </c:pt>
                <c:pt idx="53">
                  <c:v>1.5549380992043613E-9</c:v>
                </c:pt>
                <c:pt idx="54">
                  <c:v>1.6486870911518466E-9</c:v>
                </c:pt>
                <c:pt idx="55">
                  <c:v>1.7321616378063842E-9</c:v>
                </c:pt>
                <c:pt idx="56">
                  <c:v>1.8014081534468295E-9</c:v>
                </c:pt>
                <c:pt idx="57">
                  <c:v>1.8530598715050794E-9</c:v>
                </c:pt>
                <c:pt idx="58">
                  <c:v>1.8844341567900022E-9</c:v>
                </c:pt>
                <c:pt idx="59">
                  <c:v>1.8936191793428439E-9</c:v>
                </c:pt>
                <c:pt idx="60">
                  <c:v>1.8795473949312401E-9</c:v>
                </c:pt>
                <c:pt idx="61">
                  <c:v>1.8420519411902666E-9</c:v>
                </c:pt>
                <c:pt idx="62">
                  <c:v>1.7819009691055599E-9</c:v>
                </c:pt>
                <c:pt idx="63">
                  <c:v>1.7008042870348109E-9</c:v>
                </c:pt>
                <c:pt idx="64">
                  <c:v>1.6013866775907361E-9</c:v>
                </c:pt>
                <c:pt idx="65">
                  <c:v>1.4871229954742879E-9</c:v>
                </c:pt>
                <c:pt idx="66">
                  <c:v>1.3622317402044584E-9</c:v>
                </c:pt>
                <c:pt idx="67">
                  <c:v>1.2315261825563427E-9</c:v>
                </c:pt>
                <c:pt idx="68">
                  <c:v>1.1002251731969377E-9</c:v>
                </c:pt>
                <c:pt idx="69">
                  <c:v>9.737292076565081E-10</c:v>
                </c:pt>
                <c:pt idx="70">
                  <c:v>8.5737080618656647E-10</c:v>
                </c:pt>
                <c:pt idx="71">
                  <c:v>7.5615138193182083E-10</c:v>
                </c:pt>
                <c:pt idx="72">
                  <c:v>6.7447910843058495E-10</c:v>
                </c:pt>
                <c:pt idx="73">
                  <c:v>6.1592354510156356E-10</c:v>
                </c:pt>
                <c:pt idx="74">
                  <c:v>5.830027340042546E-10</c:v>
                </c:pt>
                <c:pt idx="75">
                  <c:v>5.7701712695666798E-10</c:v>
                </c:pt>
                <c:pt idx="76">
                  <c:v>5.979421866688336E-10</c:v>
                </c:pt>
                <c:pt idx="77">
                  <c:v>6.4438811065804983E-10</c:v>
                </c:pt>
                <c:pt idx="78">
                  <c:v>7.1363122068990069E-10</c:v>
                </c:pt>
                <c:pt idx="79">
                  <c:v>8.0171751972332164E-10</c:v>
                </c:pt>
                <c:pt idx="80">
                  <c:v>9.0363506126924424E-10</c:v>
                </c:pt>
                <c:pt idx="81">
                  <c:v>1.0135483262175161E-9</c:v>
                </c:pt>
                <c:pt idx="82">
                  <c:v>1.1250848518580283E-9</c:v>
                </c:pt>
                <c:pt idx="83">
                  <c:v>1.2316618978395168E-9</c:v>
                </c:pt>
                <c:pt idx="84">
                  <c:v>1.3268388720964811E-9</c:v>
                </c:pt>
                <c:pt idx="85">
                  <c:v>1.4046794705820211E-9</c:v>
                </c:pt>
                <c:pt idx="86">
                  <c:v>1.4601059350469417E-9</c:v>
                </c:pt>
                <c:pt idx="87">
                  <c:v>1.4892265231134301E-9</c:v>
                </c:pt>
                <c:pt idx="88">
                  <c:v>1.4896163641595933E-9</c:v>
                </c:pt>
                <c:pt idx="89">
                  <c:v>1.4605316139443159E-9</c:v>
                </c:pt>
                <c:pt idx="90">
                  <c:v>1.4030376105644228E-9</c:v>
                </c:pt>
                <c:pt idx="91">
                  <c:v>1.3200339934063873E-9</c:v>
                </c:pt>
                <c:pt idx="92">
                  <c:v>1.2161638534119617E-9</c:v>
                </c:pt>
                <c:pt idx="93">
                  <c:v>1.0976001475594206E-9</c:v>
                </c:pt>
                <c:pt idx="94">
                  <c:v>9.7171077936936837E-10</c:v>
                </c:pt>
                <c:pt idx="95">
                  <c:v>8.466135243126697E-10</c:v>
                </c:pt>
                <c:pt idx="96">
                  <c:v>7.3064258981728069E-10</c:v>
                </c:pt>
                <c:pt idx="97">
                  <c:v>6.3175898066546515E-10</c:v>
                </c:pt>
                <c:pt idx="98">
                  <c:v>5.5694571567347636E-10</c:v>
                </c:pt>
                <c:pt idx="99">
                  <c:v>5.1163505683970386E-10</c:v>
                </c:pt>
                <c:pt idx="100">
                  <c:v>4.992172073946333E-10</c:v>
                </c:pt>
                <c:pt idx="101">
                  <c:v>5.2067774402629364E-10</c:v>
                </c:pt>
                <c:pt idx="102">
                  <c:v>5.7440420763960077E-10</c:v>
                </c:pt>
                <c:pt idx="103">
                  <c:v>6.5619114447600385E-10</c:v>
                </c:pt>
                <c:pt idx="104">
                  <c:v>7.5945828376090691E-10</c:v>
                </c:pt>
                <c:pt idx="105">
                  <c:v>8.7567958712264816E-10</c:v>
                </c:pt>
                <c:pt idx="106">
                  <c:v>9.9500290409285045E-10</c:v>
                </c:pt>
                <c:pt idx="107">
                  <c:v>1.107022227281365E-9</c:v>
                </c:pt>
                <c:pt idx="108">
                  <c:v>1.2016483385846374E-9</c:v>
                </c:pt>
                <c:pt idx="109">
                  <c:v>1.2700101871238397E-9</c:v>
                </c:pt>
                <c:pt idx="110">
                  <c:v>1.305309865506364E-9</c:v>
                </c:pt>
                <c:pt idx="111">
                  <c:v>1.3035497921678257E-9</c:v>
                </c:pt>
                <c:pt idx="112">
                  <c:v>1.2640529276577227E-9</c:v>
                </c:pt>
                <c:pt idx="113">
                  <c:v>1.1897066757673397E-9</c:v>
                </c:pt>
                <c:pt idx="114">
                  <c:v>1.0868792802257417E-9</c:v>
                </c:pt>
                <c:pt idx="115">
                  <c:v>9.6498400028798639E-10</c:v>
                </c:pt>
                <c:pt idx="116">
                  <c:v>8.3569998690704231E-10</c:v>
                </c:pt>
                <c:pt idx="117">
                  <c:v>7.1189705610771303E-10</c:v>
                </c:pt>
                <c:pt idx="118">
                  <c:v>6.0635055633433194E-10</c:v>
                </c:pt>
                <c:pt idx="119">
                  <c:v>5.3036726662135798E-10</c:v>
                </c:pt>
                <c:pt idx="120">
                  <c:v>4.9246833473278745E-10</c:v>
                </c:pt>
                <c:pt idx="121">
                  <c:v>4.9728571599535748E-10</c:v>
                </c:pt>
                <c:pt idx="122">
                  <c:v>5.4482080952229221E-10</c:v>
                </c:pt>
                <c:pt idx="123">
                  <c:v>6.3018656509948581E-10</c:v>
                </c:pt>
                <c:pt idx="124">
                  <c:v>7.439083576530114E-10</c:v>
                </c:pt>
                <c:pt idx="125">
                  <c:v>8.7279811086367704E-10</c:v>
                </c:pt>
                <c:pt idx="126">
                  <c:v>1.0013464692728957E-9</c:v>
                </c:pt>
                <c:pt idx="127">
                  <c:v>1.1135069184913178E-9</c:v>
                </c:pt>
                <c:pt idx="128">
                  <c:v>1.1946822707872371E-9</c:v>
                </c:pt>
                <c:pt idx="129">
                  <c:v>1.2336767357168497E-9</c:v>
                </c:pt>
                <c:pt idx="130">
                  <c:v>1.2243542016654793E-9</c:v>
                </c:pt>
                <c:pt idx="131">
                  <c:v>1.1667521687785877E-9</c:v>
                </c:pt>
                <c:pt idx="132">
                  <c:v>1.0674451249808491E-9</c:v>
                </c:pt>
                <c:pt idx="133">
                  <c:v>9.3903113569031159E-10</c:v>
                </c:pt>
                <c:pt idx="134">
                  <c:v>7.9872580060840757E-10</c:v>
                </c:pt>
                <c:pt idx="135">
                  <c:v>6.661772172946389E-10</c:v>
                </c:pt>
                <c:pt idx="136">
                  <c:v>5.6074711011539914E-10</c:v>
                </c:pt>
                <c:pt idx="137">
                  <c:v>4.9861568106950655E-10</c:v>
                </c:pt>
                <c:pt idx="138">
                  <c:v>4.9013896316904726E-10</c:v>
                </c:pt>
                <c:pt idx="139">
                  <c:v>5.3789865682218033E-10</c:v>
                </c:pt>
                <c:pt idx="140">
                  <c:v>6.3582426899493118E-10</c:v>
                </c:pt>
                <c:pt idx="141">
                  <c:v>7.6963543732640678E-10</c:v>
                </c:pt>
                <c:pt idx="142">
                  <c:v>9.1866087715754996E-10</c:v>
                </c:pt>
                <c:pt idx="143">
                  <c:v>1.0588640206750324E-9</c:v>
                </c:pt>
                <c:pt idx="144">
                  <c:v>1.166678496690983E-9</c:v>
                </c:pt>
                <c:pt idx="145">
                  <c:v>1.2230689418447329E-9</c:v>
                </c:pt>
                <c:pt idx="146">
                  <c:v>1.2171236506283144E-9</c:v>
                </c:pt>
                <c:pt idx="147">
                  <c:v>1.1484874301800993E-9</c:v>
                </c:pt>
                <c:pt idx="148">
                  <c:v>1.0280733859295755E-9</c:v>
                </c:pt>
                <c:pt idx="149">
                  <c:v>8.7692292838134633E-10</c:v>
                </c:pt>
                <c:pt idx="150">
                  <c:v>7.2212814186151409E-10</c:v>
                </c:pt>
                <c:pt idx="151">
                  <c:v>5.932755457063304E-10</c:v>
                </c:pt>
                <c:pt idx="152">
                  <c:v>5.1595761855710801E-10</c:v>
                </c:pt>
                <c:pt idx="153">
                  <c:v>5.0672159626855008E-10</c:v>
                </c:pt>
                <c:pt idx="154">
                  <c:v>5.6919934133993604E-10</c:v>
                </c:pt>
                <c:pt idx="155">
                  <c:v>6.9259334652702845E-10</c:v>
                </c:pt>
                <c:pt idx="156">
                  <c:v>8.5306998319431773E-10</c:v>
                </c:pt>
                <c:pt idx="157">
                  <c:v>1.0180437740243637E-9</c:v>
                </c:pt>
                <c:pt idx="158">
                  <c:v>1.1526958184838652E-9</c:v>
                </c:pt>
                <c:pt idx="159">
                  <c:v>1.2274908759241135E-9</c:v>
                </c:pt>
                <c:pt idx="160">
                  <c:v>1.2250851682989624E-9</c:v>
                </c:pt>
                <c:pt idx="161">
                  <c:v>1.1449711831445394E-9</c:v>
                </c:pt>
                <c:pt idx="162">
                  <c:v>1.0045494093935954E-9</c:v>
                </c:pt>
                <c:pt idx="163">
                  <c:v>8.360274040165635E-10</c:v>
                </c:pt>
                <c:pt idx="164">
                  <c:v>6.7950370234033665E-10</c:v>
                </c:pt>
                <c:pt idx="165">
                  <c:v>5.7359147792015956E-10</c:v>
                </c:pt>
                <c:pt idx="166">
                  <c:v>5.4572012794221836E-10</c:v>
                </c:pt>
                <c:pt idx="167">
                  <c:v>6.0458028569263847E-10</c:v>
                </c:pt>
                <c:pt idx="168">
                  <c:v>7.3689016662009706E-10</c:v>
                </c:pt>
                <c:pt idx="169">
                  <c:v>9.0974354205955529E-10</c:v>
                </c:pt>
                <c:pt idx="170">
                  <c:v>1.0784124632278507E-9</c:v>
                </c:pt>
                <c:pt idx="171">
                  <c:v>1.1979438822246427E-9</c:v>
                </c:pt>
                <c:pt idx="172">
                  <c:v>1.2356295696643232E-9</c:v>
                </c:pt>
                <c:pt idx="173">
                  <c:v>1.1808554094157634E-9</c:v>
                </c:pt>
                <c:pt idx="174">
                  <c:v>1.049224972610964E-9</c:v>
                </c:pt>
                <c:pt idx="175">
                  <c:v>8.7922968383294412E-10</c:v>
                </c:pt>
                <c:pt idx="176">
                  <c:v>7.2182396337228038E-10</c:v>
                </c:pt>
                <c:pt idx="177">
                  <c:v>6.2550380431018519E-10</c:v>
                </c:pt>
                <c:pt idx="178">
                  <c:v>6.2118273273435013E-10</c:v>
                </c:pt>
                <c:pt idx="179">
                  <c:v>7.1167470639207885E-10</c:v>
                </c:pt>
                <c:pt idx="180">
                  <c:v>8.6958539989058311E-10</c:v>
                </c:pt>
                <c:pt idx="181">
                  <c:v>1.045002516149088E-9</c:v>
                </c:pt>
                <c:pt idx="182">
                  <c:v>1.1811924184873952E-9</c:v>
                </c:pt>
                <c:pt idx="183">
                  <c:v>1.2335630811676648E-9</c:v>
                </c:pt>
                <c:pt idx="184">
                  <c:v>1.1855309416588332E-9</c:v>
                </c:pt>
                <c:pt idx="185">
                  <c:v>1.0554097583893066E-9</c:v>
                </c:pt>
                <c:pt idx="186">
                  <c:v>8.9113810880802668E-10</c:v>
                </c:pt>
                <c:pt idx="187">
                  <c:v>7.5386677350460294E-10</c:v>
                </c:pt>
                <c:pt idx="188">
                  <c:v>6.9573053139060943E-10</c:v>
                </c:pt>
                <c:pt idx="189">
                  <c:v>7.3986424662728218E-10</c:v>
                </c:pt>
                <c:pt idx="190">
                  <c:v>8.7059180554000074E-10</c:v>
                </c:pt>
                <c:pt idx="191">
                  <c:v>1.0383870414284719E-9</c:v>
                </c:pt>
                <c:pt idx="192">
                  <c:v>1.1786263061923396E-9</c:v>
                </c:pt>
                <c:pt idx="193">
                  <c:v>1.237371691883985E-9</c:v>
                </c:pt>
                <c:pt idx="194">
                  <c:v>1.1938878825892413E-9</c:v>
                </c:pt>
                <c:pt idx="195">
                  <c:v>1.0701248491183817E-9</c:v>
                </c:pt>
                <c:pt idx="196">
                  <c:v>9.2206378826351416E-10</c:v>
                </c:pt>
                <c:pt idx="197">
                  <c:v>8.166889061045419E-10</c:v>
                </c:pt>
                <c:pt idx="198">
                  <c:v>8.0176838813766166E-10</c:v>
                </c:pt>
                <c:pt idx="199">
                  <c:v>8.8442492443187111E-10</c:v>
                </c:pt>
                <c:pt idx="200">
                  <c:v>1.0272617347359079E-9</c:v>
                </c:pt>
                <c:pt idx="201">
                  <c:v>1.1653303958644519E-9</c:v>
                </c:pt>
                <c:pt idx="202">
                  <c:v>1.2367443050587454E-9</c:v>
                </c:pt>
                <c:pt idx="203">
                  <c:v>1.212607543882498E-9</c:v>
                </c:pt>
                <c:pt idx="204">
                  <c:v>1.1113426557187665E-9</c:v>
                </c:pt>
                <c:pt idx="205">
                  <c:v>9.8951622329973371E-10</c:v>
                </c:pt>
                <c:pt idx="206">
                  <c:v>9.1296130914331857E-10</c:v>
                </c:pt>
                <c:pt idx="207">
                  <c:v>9.2260740603033855E-10</c:v>
                </c:pt>
                <c:pt idx="208">
                  <c:v>1.0130772126957998E-9</c:v>
                </c:pt>
                <c:pt idx="209">
                  <c:v>1.1360819311945617E-9</c:v>
                </c:pt>
                <c:pt idx="210">
                  <c:v>1.2274236332614023E-9</c:v>
                </c:pt>
                <c:pt idx="211">
                  <c:v>1.2429754391828526E-9</c:v>
                </c:pt>
                <c:pt idx="212">
                  <c:v>1.1832353278205793E-9</c:v>
                </c:pt>
                <c:pt idx="213">
                  <c:v>1.0919798730646111E-9</c:v>
                </c:pt>
                <c:pt idx="214">
                  <c:v>1.0294648564821754E-9</c:v>
                </c:pt>
                <c:pt idx="215">
                  <c:v>1.0360441572389939E-9</c:v>
                </c:pt>
                <c:pt idx="216">
                  <c:v>1.1084360444066572E-9</c:v>
                </c:pt>
                <c:pt idx="217">
                  <c:v>1.2034635311535409E-9</c:v>
                </c:pt>
                <c:pt idx="218">
                  <c:v>1.2668051201940285E-9</c:v>
                </c:pt>
                <c:pt idx="219">
                  <c:v>1.2679934730103859E-9</c:v>
                </c:pt>
                <c:pt idx="220">
                  <c:v>1.2186602061025707E-9</c:v>
                </c:pt>
                <c:pt idx="221">
                  <c:v>1.1622570570894128E-9</c:v>
                </c:pt>
                <c:pt idx="222">
                  <c:v>1.1429616382089352E-9</c:v>
                </c:pt>
                <c:pt idx="223">
                  <c:v>1.1758129839913627E-9</c:v>
                </c:pt>
                <c:pt idx="224">
                  <c:v>1.2389164039481684E-9</c:v>
                </c:pt>
                <c:pt idx="225">
                  <c:v>1.2922153198460573E-9</c:v>
                </c:pt>
                <c:pt idx="226">
                  <c:v>1.3077304573307924E-9</c:v>
                </c:pt>
                <c:pt idx="227">
                  <c:v>1.2882760781463972E-9</c:v>
                </c:pt>
                <c:pt idx="228">
                  <c:v>1.26157964376945E-9</c:v>
                </c:pt>
                <c:pt idx="229">
                  <c:v>1.256390474230984E-9</c:v>
                </c:pt>
                <c:pt idx="230">
                  <c:v>1.2807404467639462E-9</c:v>
                </c:pt>
                <c:pt idx="231">
                  <c:v>1.319223981529561E-9</c:v>
                </c:pt>
                <c:pt idx="232">
                  <c:v>1.3491978426876454E-9</c:v>
                </c:pt>
                <c:pt idx="233">
                  <c:v>1.3601084867305484E-9</c:v>
                </c:pt>
                <c:pt idx="234">
                  <c:v>1.3594110150165403E-9</c:v>
                </c:pt>
                <c:pt idx="235">
                  <c:v>1.3623325602995085E-9</c:v>
                </c:pt>
                <c:pt idx="236">
                  <c:v>1.3772551518387906E-9</c:v>
                </c:pt>
                <c:pt idx="237">
                  <c:v>1.4004164864453105E-9</c:v>
                </c:pt>
                <c:pt idx="238">
                  <c:v>1.4226062753391349E-9</c:v>
                </c:pt>
                <c:pt idx="239">
                  <c:v>1.4387302345287938E-9</c:v>
                </c:pt>
                <c:pt idx="240">
                  <c:v>1.4504918003950279E-9</c:v>
                </c:pt>
                <c:pt idx="241">
                  <c:v>1.4619175357118192E-9</c:v>
                </c:pt>
                <c:pt idx="242">
                  <c:v>1.4748284235513754E-9</c:v>
                </c:pt>
                <c:pt idx="243">
                  <c:v>1.4888339669181054E-9</c:v>
                </c:pt>
                <c:pt idx="244">
                  <c:v>1.5034153424254345E-9</c:v>
                </c:pt>
                <c:pt idx="245">
                  <c:v>1.5181547096157718E-9</c:v>
                </c:pt>
                <c:pt idx="246">
                  <c:v>1.5321220271411954E-9</c:v>
                </c:pt>
                <c:pt idx="247">
                  <c:v>1.5456467872435289E-9</c:v>
                </c:pt>
                <c:pt idx="248">
                  <c:v>1.5622181542567329E-9</c:v>
                </c:pt>
                <c:pt idx="249">
                  <c:v>1.5846885726093515E-9</c:v>
                </c:pt>
                <c:pt idx="250">
                  <c:v>1.608232717115E-9</c:v>
                </c:pt>
                <c:pt idx="251">
                  <c:v>1.6224590366177605E-9</c:v>
                </c:pt>
                <c:pt idx="252">
                  <c:v>1.6265346636259676E-9</c:v>
                </c:pt>
                <c:pt idx="253">
                  <c:v>1.6381305947997643E-9</c:v>
                </c:pt>
                <c:pt idx="254">
                  <c:v>1.6747406558804056E-9</c:v>
                </c:pt>
                <c:pt idx="255">
                  <c:v>1.7229775565589957E-9</c:v>
                </c:pt>
                <c:pt idx="256">
                  <c:v>1.7431613472676521E-9</c:v>
                </c:pt>
                <c:pt idx="257">
                  <c:v>1.7211632074433989E-9</c:v>
                </c:pt>
                <c:pt idx="258">
                  <c:v>1.7030137117050356E-9</c:v>
                </c:pt>
                <c:pt idx="259">
                  <c:v>1.7449832011253804E-9</c:v>
                </c:pt>
                <c:pt idx="260">
                  <c:v>1.8258375661678793E-9</c:v>
                </c:pt>
                <c:pt idx="261">
                  <c:v>1.8541237394835187E-9</c:v>
                </c:pt>
                <c:pt idx="262">
                  <c:v>1.7958106458782566E-9</c:v>
                </c:pt>
                <c:pt idx="263">
                  <c:v>1.7498862313658049E-9</c:v>
                </c:pt>
                <c:pt idx="264">
                  <c:v>1.8236691558628706E-9</c:v>
                </c:pt>
                <c:pt idx="265">
                  <c:v>1.9544760557312884E-9</c:v>
                </c:pt>
                <c:pt idx="266">
                  <c:v>1.969773859222986E-9</c:v>
                </c:pt>
                <c:pt idx="267">
                  <c:v>1.8545904309352629E-9</c:v>
                </c:pt>
                <c:pt idx="268">
                  <c:v>1.8158592208010113E-9</c:v>
                </c:pt>
                <c:pt idx="269">
                  <c:v>1.971310830901507E-9</c:v>
                </c:pt>
                <c:pt idx="270">
                  <c:v>2.1199087707306239E-9</c:v>
                </c:pt>
                <c:pt idx="271">
                  <c:v>2.0324051161655776E-9</c:v>
                </c:pt>
                <c:pt idx="272">
                  <c:v>1.8599875731308253E-9</c:v>
                </c:pt>
                <c:pt idx="273">
                  <c:v>1.9317135212088927E-9</c:v>
                </c:pt>
                <c:pt idx="274">
                  <c:v>2.1785542655235499E-9</c:v>
                </c:pt>
                <c:pt idx="275">
                  <c:v>2.1928925909214937E-9</c:v>
                </c:pt>
                <c:pt idx="276">
                  <c:v>1.9456963807380031E-9</c:v>
                </c:pt>
                <c:pt idx="277">
                  <c:v>1.9050138514865497E-9</c:v>
                </c:pt>
                <c:pt idx="278">
                  <c:v>2.2037267361071327E-9</c:v>
                </c:pt>
                <c:pt idx="279">
                  <c:v>2.328555996337107E-9</c:v>
                </c:pt>
                <c:pt idx="280">
                  <c:v>2.0515687163103367E-9</c:v>
                </c:pt>
                <c:pt idx="281">
                  <c:v>1.9275720457702786E-9</c:v>
                </c:pt>
                <c:pt idx="282">
                  <c:v>2.2591537378844902E-9</c:v>
                </c:pt>
                <c:pt idx="283">
                  <c:v>2.4383287247377021E-9</c:v>
                </c:pt>
                <c:pt idx="284">
                  <c:v>2.1134809780858415E-9</c:v>
                </c:pt>
                <c:pt idx="285">
                  <c:v>1.9620668633467257E-9</c:v>
                </c:pt>
                <c:pt idx="286">
                  <c:v>2.3423234059524724E-9</c:v>
                </c:pt>
                <c:pt idx="287">
                  <c:v>2.4846640774558662E-9</c:v>
                </c:pt>
                <c:pt idx="288">
                  <c:v>2.083477304700998E-9</c:v>
                </c:pt>
                <c:pt idx="289">
                  <c:v>2.018903524353402E-9</c:v>
                </c:pt>
                <c:pt idx="290">
                  <c:v>2.4688380400537042E-9</c:v>
                </c:pt>
                <c:pt idx="291">
                  <c:v>2.4524845237233968E-9</c:v>
                </c:pt>
                <c:pt idx="292">
                  <c:v>2.0156730885246951E-9</c:v>
                </c:pt>
                <c:pt idx="293">
                  <c:v>2.18613273483907E-9</c:v>
                </c:pt>
                <c:pt idx="294">
                  <c:v>2.5978371385598065E-9</c:v>
                </c:pt>
                <c:pt idx="295">
                  <c:v>2.2931667377849685E-9</c:v>
                </c:pt>
                <c:pt idx="296">
                  <c:v>2.0101085140214758E-9</c:v>
                </c:pt>
                <c:pt idx="297">
                  <c:v>2.442639808998106E-9</c:v>
                </c:pt>
                <c:pt idx="298">
                  <c:v>2.5239330759010418E-9</c:v>
                </c:pt>
                <c:pt idx="299">
                  <c:v>2.0481237424959549E-9</c:v>
                </c:pt>
                <c:pt idx="300">
                  <c:v>2.2107800055531473E-9</c:v>
                </c:pt>
                <c:pt idx="301">
                  <c:v>2.5770662203357334E-9</c:v>
                </c:pt>
                <c:pt idx="302">
                  <c:v>2.1918420587829223E-9</c:v>
                </c:pt>
                <c:pt idx="303">
                  <c:v>2.0714106927062864E-9</c:v>
                </c:pt>
                <c:pt idx="304">
                  <c:v>2.5157255453885713E-9</c:v>
                </c:pt>
                <c:pt idx="305">
                  <c:v>2.311651784213747E-9</c:v>
                </c:pt>
                <c:pt idx="306">
                  <c:v>2.0165251726872266E-9</c:v>
                </c:pt>
                <c:pt idx="307">
                  <c:v>2.4059284557159745E-9</c:v>
                </c:pt>
                <c:pt idx="308">
                  <c:v>2.3411736558879188E-9</c:v>
                </c:pt>
                <c:pt idx="309">
                  <c:v>1.9863139362471743E-9</c:v>
                </c:pt>
                <c:pt idx="310">
                  <c:v>2.2973700824729816E-9</c:v>
                </c:pt>
                <c:pt idx="311">
                  <c:v>2.2949388940416787E-9</c:v>
                </c:pt>
                <c:pt idx="312">
                  <c:v>1.9571819705078016E-9</c:v>
                </c:pt>
                <c:pt idx="313">
                  <c:v>2.2225243155051358E-9</c:v>
                </c:pt>
                <c:pt idx="314">
                  <c:v>2.2093576853763004E-9</c:v>
                </c:pt>
                <c:pt idx="315">
                  <c:v>1.9205573012082083E-9</c:v>
                </c:pt>
                <c:pt idx="316">
                  <c:v>2.1617143341772282E-9</c:v>
                </c:pt>
                <c:pt idx="317">
                  <c:v>2.0852229305358976E-9</c:v>
                </c:pt>
                <c:pt idx="318">
                  <c:v>1.8733900881805874E-9</c:v>
                </c:pt>
                <c:pt idx="319">
                  <c:v>2.0826772955918288E-9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1110</c:v>
                </c:pt>
                <c:pt idx="1">
                  <c:v>1114</c:v>
                </c:pt>
                <c:pt idx="2">
                  <c:v>1118</c:v>
                </c:pt>
                <c:pt idx="3">
                  <c:v>1122</c:v>
                </c:pt>
                <c:pt idx="4">
                  <c:v>1126</c:v>
                </c:pt>
                <c:pt idx="5">
                  <c:v>1130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2.4420024898562227</c:v>
                </c:pt>
                <c:pt idx="1">
                  <c:v>2.1211183354334793</c:v>
                </c:pt>
                <c:pt idx="2">
                  <c:v>1.9636980921028195</c:v>
                </c:pt>
                <c:pt idx="3">
                  <c:v>1.9647776502910839</c:v>
                </c:pt>
                <c:pt idx="4">
                  <c:v>2.1122391262921103</c:v>
                </c:pt>
                <c:pt idx="5">
                  <c:v>2.3896562685062719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850</c:v>
                </c:pt>
                <c:pt idx="1">
                  <c:v>882</c:v>
                </c:pt>
                <c:pt idx="2">
                  <c:v>914</c:v>
                </c:pt>
                <c:pt idx="3">
                  <c:v>946</c:v>
                </c:pt>
                <c:pt idx="4">
                  <c:v>978</c:v>
                </c:pt>
                <c:pt idx="5">
                  <c:v>1010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2.4357065897934023</c:v>
                </c:pt>
                <c:pt idx="1">
                  <c:v>2.2758516428375923</c:v>
                </c:pt>
                <c:pt idx="2">
                  <c:v>2.0894526732023899</c:v>
                </c:pt>
                <c:pt idx="3">
                  <c:v>1.9518976144170281</c:v>
                </c:pt>
                <c:pt idx="4">
                  <c:v>2.0318481939804602</c:v>
                </c:pt>
                <c:pt idx="5">
                  <c:v>2.5907448848196757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0.28999999999999998</c:v>
                </c:pt>
                <c:pt idx="1">
                  <c:v>0.30199999999999999</c:v>
                </c:pt>
                <c:pt idx="2">
                  <c:v>0.314</c:v>
                </c:pt>
                <c:pt idx="3">
                  <c:v>0.32599999999999996</c:v>
                </c:pt>
                <c:pt idx="4">
                  <c:v>0.33799999999999997</c:v>
                </c:pt>
                <c:pt idx="5">
                  <c:v>0.35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2.1350753398012192</c:v>
                </c:pt>
                <c:pt idx="1">
                  <c:v>1.9957192653387599</c:v>
                </c:pt>
                <c:pt idx="2">
                  <c:v>1.9953101043986397</c:v>
                </c:pt>
                <c:pt idx="3">
                  <c:v>2.1453190080586548</c:v>
                </c:pt>
                <c:pt idx="4">
                  <c:v>2.456306030915349</c:v>
                </c:pt>
                <c:pt idx="5">
                  <c:v>2.9387036109873876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0.08</c:v>
                </c:pt>
                <c:pt idx="1">
                  <c:v>0.1</c:v>
                </c:pt>
                <c:pt idx="2">
                  <c:v>0.12</c:v>
                </c:pt>
                <c:pt idx="3">
                  <c:v>0.13999999999999999</c:v>
                </c:pt>
                <c:pt idx="4">
                  <c:v>0.15999999999999998</c:v>
                </c:pt>
                <c:pt idx="5">
                  <c:v>0.18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2.3247122768218644</c:v>
                </c:pt>
                <c:pt idx="1">
                  <c:v>2.1015713446317004</c:v>
                </c:pt>
                <c:pt idx="2">
                  <c:v>1.9902611965527319</c:v>
                </c:pt>
                <c:pt idx="3">
                  <c:v>1.9900419400511082</c:v>
                </c:pt>
                <c:pt idx="4">
                  <c:v>2.1000823336475483</c:v>
                </c:pt>
                <c:pt idx="5">
                  <c:v>2.3196657033781882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4</c:v>
                </c:pt>
                <c:pt idx="1">
                  <c:v>5.6</c:v>
                </c:pt>
                <c:pt idx="2">
                  <c:v>7.2</c:v>
                </c:pt>
                <c:pt idx="3">
                  <c:v>8.8000000000000007</c:v>
                </c:pt>
                <c:pt idx="4">
                  <c:v>10.4</c:v>
                </c:pt>
                <c:pt idx="5">
                  <c:v>12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1.9939824154672032</c:v>
                </c:pt>
                <c:pt idx="1">
                  <c:v>1.9769415412915823</c:v>
                </c:pt>
                <c:pt idx="2">
                  <c:v>1.977930005568699</c:v>
                </c:pt>
                <c:pt idx="3">
                  <c:v>2.0112946402916148</c:v>
                </c:pt>
                <c:pt idx="4">
                  <c:v>2.0895145700072373</c:v>
                </c:pt>
                <c:pt idx="5">
                  <c:v>2.2218087824050201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50</c:v>
                </c:pt>
                <c:pt idx="1">
                  <c:v>130</c:v>
                </c:pt>
                <c:pt idx="2">
                  <c:v>210</c:v>
                </c:pt>
                <c:pt idx="3">
                  <c:v>290</c:v>
                </c:pt>
                <c:pt idx="4">
                  <c:v>370</c:v>
                </c:pt>
                <c:pt idx="5">
                  <c:v>450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2.6335203529051237</c:v>
                </c:pt>
                <c:pt idx="1">
                  <c:v>1.9636641646058479</c:v>
                </c:pt>
                <c:pt idx="2">
                  <c:v>1.9879112699950023</c:v>
                </c:pt>
                <c:pt idx="3">
                  <c:v>2.0815612981792655</c:v>
                </c:pt>
                <c:pt idx="4">
                  <c:v>2.179032465064044</c:v>
                </c:pt>
                <c:pt idx="5">
                  <c:v>2.3075173566278275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1.9700000000000002E-6</c:v>
                </c:pt>
                <c:pt idx="1">
                  <c:v>2.0100000000000002E-6</c:v>
                </c:pt>
                <c:pt idx="2">
                  <c:v>2.0500000000000003E-6</c:v>
                </c:pt>
                <c:pt idx="3">
                  <c:v>2.0899999999999999E-6</c:v>
                </c:pt>
                <c:pt idx="4">
                  <c:v>2.1299999999999999E-6</c:v>
                </c:pt>
                <c:pt idx="5">
                  <c:v>2.17E-6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2.289615211427503</c:v>
                </c:pt>
                <c:pt idx="1">
                  <c:v>2.071895739827263</c:v>
                </c:pt>
                <c:pt idx="2">
                  <c:v>1.9705728142216974</c:v>
                </c:pt>
                <c:pt idx="3">
                  <c:v>2.0255935797193807</c:v>
                </c:pt>
                <c:pt idx="4">
                  <c:v>2.2978740649213814</c:v>
                </c:pt>
                <c:pt idx="5">
                  <c:v>2.8675346760778333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2.0499999999999999E-6</c:v>
                </c:pt>
                <c:pt idx="1">
                  <c:v>2.0899999999999999E-6</c:v>
                </c:pt>
                <c:pt idx="2">
                  <c:v>2.1299999999999999E-6</c:v>
                </c:pt>
                <c:pt idx="3">
                  <c:v>2.17E-6</c:v>
                </c:pt>
                <c:pt idx="4">
                  <c:v>2.21E-6</c:v>
                </c:pt>
                <c:pt idx="5">
                  <c:v>2.2500000000000001E-6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2.2552597408251911</c:v>
                </c:pt>
                <c:pt idx="1">
                  <c:v>1.9714081442611571</c:v>
                </c:pt>
                <c:pt idx="2">
                  <c:v>2.2759649930230363</c:v>
                </c:pt>
                <c:pt idx="3">
                  <c:v>3.2549353780618424</c:v>
                </c:pt>
                <c:pt idx="4">
                  <c:v>4.9975095471653246</c:v>
                </c:pt>
                <c:pt idx="5">
                  <c:v>7.6115142212369618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1.9908469351422518</c:v>
                </c:pt>
                <c:pt idx="1">
                  <c:v>1.9737609696675773</c:v>
                </c:pt>
                <c:pt idx="2">
                  <c:v>1.9713446627892421</c:v>
                </c:pt>
                <c:pt idx="3">
                  <c:v>1.9835443692813532</c:v>
                </c:pt>
                <c:pt idx="4">
                  <c:v>2.0103087407852782</c:v>
                </c:pt>
                <c:pt idx="5">
                  <c:v>2.0515899209416069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5863029C-70F1-4F5A-9C47-1C386ECF7A2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C10" sqref="C10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SUM(Y3:Y322)/319</f>
        <v>1.9705234834434424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8.3469176538099998E-3</v>
      </c>
      <c r="J3" s="109">
        <v>5.5720545754262683E-9</v>
      </c>
      <c r="K3" s="109">
        <v>5.6682629261330386E-10</v>
      </c>
      <c r="L3" s="152">
        <v>4.8500302464922812E-9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4.8500088093972581E-9</v>
      </c>
      <c r="V3" s="127">
        <v>4.8500302464922812E-9</v>
      </c>
      <c r="W3" s="128">
        <v>4.8500491212094241E-9</v>
      </c>
      <c r="X3" s="128">
        <f t="shared" ref="X3:X66" si="0">(U3+2*V3+W3)/4</f>
        <v>4.8500296058978109E-9</v>
      </c>
      <c r="Y3" s="139">
        <f t="shared" ref="Y3:Y66" si="1">(J3-X3)*(J3-X3)/(K3*K3)</f>
        <v>1.6225738019864715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2.0900427920615892E-6</v>
      </c>
      <c r="D4" s="19">
        <v>9.9999999999999994E-12</v>
      </c>
      <c r="E4" s="19">
        <v>5.0000000000000001E-9</v>
      </c>
      <c r="F4" s="149">
        <f>H4*H8</f>
        <v>930.51854293218196</v>
      </c>
      <c r="G4" s="107">
        <v>6.1687442778200738</v>
      </c>
      <c r="H4" s="107">
        <v>930.51854293218196</v>
      </c>
      <c r="I4" s="109">
        <v>8.4303868303500003E-3</v>
      </c>
      <c r="J4" s="109">
        <v>5.251097735319143E-9</v>
      </c>
      <c r="K4" s="109">
        <v>5.160220712515903E-10</v>
      </c>
      <c r="L4" s="152">
        <v>5.0468156354875409E-9</v>
      </c>
      <c r="M4" s="27"/>
      <c r="N4" s="18">
        <v>8.1763851360431745E-9</v>
      </c>
      <c r="O4" s="18">
        <v>3.9120658998460512E-14</v>
      </c>
      <c r="P4" s="18">
        <v>1.9560329499230255E-11</v>
      </c>
      <c r="Q4" s="28">
        <v>2.1233824396187471</v>
      </c>
      <c r="R4" s="60">
        <v>100</v>
      </c>
      <c r="S4" s="57">
        <v>0</v>
      </c>
      <c r="U4" s="127">
        <v>5.0467909267213277E-9</v>
      </c>
      <c r="V4" s="127">
        <v>5.0468156354875409E-9</v>
      </c>
      <c r="W4" s="128">
        <v>5.0468374757431833E-9</v>
      </c>
      <c r="X4" s="128">
        <f t="shared" si="0"/>
        <v>5.0468149183598984E-9</v>
      </c>
      <c r="Y4" s="139">
        <f t="shared" si="1"/>
        <v>0.15672097346736655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1.7958184806552113E-6</v>
      </c>
      <c r="D5" s="101">
        <v>1.5392483148537927E-10</v>
      </c>
      <c r="E5" s="101">
        <v>5.0509225500401457E-8</v>
      </c>
      <c r="F5" s="149">
        <f>(H10-H4)*H8</f>
        <v>189.69977055158495</v>
      </c>
      <c r="G5" s="107">
        <f>F5</f>
        <v>189.69977055158495</v>
      </c>
      <c r="H5" s="111" t="s">
        <v>599</v>
      </c>
      <c r="I5" s="109">
        <v>8.5146906986500008E-3</v>
      </c>
      <c r="J5" s="109">
        <v>5.5817400253068503E-9</v>
      </c>
      <c r="K5" s="109">
        <v>5.3239116406212026E-10</v>
      </c>
      <c r="L5" s="152">
        <v>5.2515710281338389E-9</v>
      </c>
      <c r="M5" s="27"/>
      <c r="N5" s="18">
        <v>6.73512491138856E-8</v>
      </c>
      <c r="O5" s="18">
        <v>3.2224818252381934E-13</v>
      </c>
      <c r="P5" s="18">
        <v>1.6112409126190968E-10</v>
      </c>
      <c r="Q5" s="28">
        <v>1.581158808296107</v>
      </c>
      <c r="R5" s="60">
        <v>100</v>
      </c>
      <c r="S5" s="57">
        <v>8.1763851360431745E-9</v>
      </c>
      <c r="U5" s="127">
        <v>5.2515424500384699E-9</v>
      </c>
      <c r="V5" s="127">
        <v>5.2515710281338389E-9</v>
      </c>
      <c r="W5" s="128">
        <v>5.2515963925654562E-9</v>
      </c>
      <c r="X5" s="128">
        <f t="shared" si="0"/>
        <v>5.2515702247179012E-9</v>
      </c>
      <c r="Y5" s="139">
        <f t="shared" si="1"/>
        <v>0.38460330936146991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9.6774070930268282E-7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0.03</v>
      </c>
      <c r="I6" s="109">
        <v>8.5998376056400008E-3</v>
      </c>
      <c r="J6" s="109">
        <v>4.9006773735064349E-9</v>
      </c>
      <c r="K6" s="109">
        <v>4.9946151406808827E-10</v>
      </c>
      <c r="L6" s="152">
        <v>5.4646158019361374E-9</v>
      </c>
      <c r="M6" s="27"/>
      <c r="N6" s="18">
        <v>1.5295657534662166E-7</v>
      </c>
      <c r="O6" s="18">
        <v>7.318346587332186E-13</v>
      </c>
      <c r="P6" s="18">
        <v>3.6591732936660931E-10</v>
      </c>
      <c r="Q6" s="28">
        <v>0.87988153953834225</v>
      </c>
      <c r="R6" s="60">
        <v>102.12338243961875</v>
      </c>
      <c r="S6" s="57">
        <v>8.1763851360431745E-9</v>
      </c>
      <c r="U6" s="127">
        <v>5.4645826253526678E-9</v>
      </c>
      <c r="V6" s="127">
        <v>5.4646158019361374E-9</v>
      </c>
      <c r="W6" s="128">
        <v>5.4646453761347871E-9</v>
      </c>
      <c r="X6" s="128">
        <f t="shared" si="0"/>
        <v>5.4646149013399326E-9</v>
      </c>
      <c r="Y6" s="139">
        <f t="shared" si="1"/>
        <v>1.2748466104017224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22.028473791051074</v>
      </c>
      <c r="G7" s="102">
        <v>5</v>
      </c>
      <c r="H7" s="134" t="s">
        <v>600</v>
      </c>
      <c r="I7" s="109">
        <v>8.6858359817000002E-3</v>
      </c>
      <c r="J7" s="109">
        <v>5.7591400218250501E-9</v>
      </c>
      <c r="K7" s="109">
        <v>5.071020566546224E-10</v>
      </c>
      <c r="L7" s="152">
        <v>5.6862815119496513E-9</v>
      </c>
      <c r="M7" s="27"/>
      <c r="N7" s="18">
        <v>2.4982348053734248E-7</v>
      </c>
      <c r="O7" s="18">
        <v>1.1953031846344163E-12</v>
      </c>
      <c r="P7" s="18">
        <v>5.9765159231720819E-10</v>
      </c>
      <c r="Q7" s="28">
        <v>0.64466179530416357</v>
      </c>
      <c r="R7" s="60">
        <v>102.12338243961875</v>
      </c>
      <c r="S7" s="57">
        <v>6.73512491138856E-8</v>
      </c>
      <c r="U7" s="127">
        <v>5.6862428501419823E-9</v>
      </c>
      <c r="V7" s="127">
        <v>5.6862815119496513E-9</v>
      </c>
      <c r="W7" s="128">
        <v>5.6863161351666443E-9</v>
      </c>
      <c r="X7" s="128">
        <f t="shared" si="0"/>
        <v>5.6862805023019829E-9</v>
      </c>
      <c r="Y7" s="139">
        <f t="shared" si="1"/>
        <v>2.0643430145640775E-2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2.048656786056501E-6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8.7726943415100001E-3</v>
      </c>
      <c r="J8" s="109">
        <v>5.8840327651112461E-9</v>
      </c>
      <c r="K8" s="109">
        <v>5.1409719380975196E-10</v>
      </c>
      <c r="L8" s="152">
        <v>5.916911769435717E-9</v>
      </c>
      <c r="M8" s="27"/>
      <c r="N8" s="18">
        <v>3.520519868644961E-7</v>
      </c>
      <c r="O8" s="18">
        <v>1.6844247792517059E-12</v>
      </c>
      <c r="P8" s="18">
        <v>8.422123896258529E-10</v>
      </c>
      <c r="Q8" s="28">
        <v>0.52461694367881051</v>
      </c>
      <c r="R8" s="60">
        <v>103.70454124791486</v>
      </c>
      <c r="S8" s="57">
        <v>6.73512491138856E-8</v>
      </c>
      <c r="U8" s="127">
        <v>5.916866540749098E-9</v>
      </c>
      <c r="V8" s="127">
        <v>5.916911769435717E-9</v>
      </c>
      <c r="W8" s="128">
        <v>5.9169524728038556E-9</v>
      </c>
      <c r="X8" s="128">
        <f t="shared" si="0"/>
        <v>5.9169106381060971E-9</v>
      </c>
      <c r="Y8" s="139">
        <f t="shared" si="1"/>
        <v>4.0899402212191335E-3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8.86042128493E-3</v>
      </c>
      <c r="J9" s="109">
        <v>6.1662790231550643E-9</v>
      </c>
      <c r="K9" s="109">
        <v>5.1524654238263911E-10</v>
      </c>
      <c r="L9" s="152">
        <v>6.1568619911888928E-9</v>
      </c>
      <c r="M9" s="27"/>
      <c r="N9" s="18">
        <v>4.5694113131399844E-7</v>
      </c>
      <c r="O9" s="18">
        <v>2.1862764391693533E-12</v>
      </c>
      <c r="P9" s="18">
        <v>1.0931382195846767E-9</v>
      </c>
      <c r="Q9" s="28">
        <v>0.45300964345452155</v>
      </c>
      <c r="R9" s="60">
        <v>103.70454124791486</v>
      </c>
      <c r="S9" s="57">
        <v>1.5295657534662166E-7</v>
      </c>
      <c r="U9" s="127">
        <v>6.1568088687999124E-9</v>
      </c>
      <c r="V9" s="127">
        <v>6.1568619911888928E-9</v>
      </c>
      <c r="W9" s="128">
        <v>6.1569100495861496E-9</v>
      </c>
      <c r="X9" s="128">
        <f t="shared" si="0"/>
        <v>6.1568607251909621E-9</v>
      </c>
      <c r="Y9" s="139">
        <f t="shared" si="1"/>
        <v>3.341293915098269E-4</v>
      </c>
      <c r="AA9" s="73"/>
      <c r="AB9" s="176"/>
      <c r="AC9" s="176"/>
      <c r="AD9" s="176"/>
      <c r="AJ9" s="135"/>
    </row>
    <row r="10" spans="1:36" x14ac:dyDescent="0.35">
      <c r="A10" s="69">
        <v>9.3941553082575258</v>
      </c>
      <c r="B10" s="100"/>
      <c r="C10" s="101"/>
      <c r="D10" s="101"/>
      <c r="E10" s="101"/>
      <c r="F10" s="102"/>
      <c r="G10" s="102"/>
      <c r="H10" s="107">
        <v>1120.2183134837669</v>
      </c>
      <c r="I10" s="109">
        <v>8.9490254977800006E-3</v>
      </c>
      <c r="J10" s="109">
        <v>7.3160478623982639E-9</v>
      </c>
      <c r="K10" s="109">
        <v>5.459072096276887E-10</v>
      </c>
      <c r="L10" s="152">
        <v>6.4064990226155231E-9</v>
      </c>
      <c r="M10" s="27"/>
      <c r="N10" s="18">
        <v>5.6314445264012318E-7</v>
      </c>
      <c r="O10" s="18">
        <v>2.694415897985731E-12</v>
      </c>
      <c r="P10" s="18">
        <v>1.3472079489928657E-9</v>
      </c>
      <c r="Q10" s="28">
        <v>0.40695804330428198</v>
      </c>
      <c r="R10" s="60">
        <v>104.58442278745321</v>
      </c>
      <c r="S10" s="57">
        <v>1.5295657534662166E-7</v>
      </c>
      <c r="U10" s="127">
        <v>6.4064363719870717E-9</v>
      </c>
      <c r="V10" s="127">
        <v>6.4064990226155231E-9</v>
      </c>
      <c r="W10" s="128">
        <v>6.4065560204984569E-9</v>
      </c>
      <c r="X10" s="128">
        <f t="shared" si="0"/>
        <v>6.4064976094291437E-9</v>
      </c>
      <c r="Y10" s="139">
        <f t="shared" si="1"/>
        <v>2.7759761983772768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9.0385157527600006E-3</v>
      </c>
      <c r="J11" s="109">
        <v>6.8851699902362815E-9</v>
      </c>
      <c r="K11" s="109">
        <v>5.3013219494707995E-10</v>
      </c>
      <c r="L11" s="152">
        <v>6.6662002935429637E-9</v>
      </c>
      <c r="M11" s="27"/>
      <c r="N11" s="18">
        <v>6.6996647776079111E-7</v>
      </c>
      <c r="O11" s="18">
        <v>3.2055156014291243E-12</v>
      </c>
      <c r="P11" s="18">
        <v>1.6027578007145623E-9</v>
      </c>
      <c r="Q11" s="28">
        <v>0.37643634267771403</v>
      </c>
      <c r="R11" s="60">
        <v>104.58442278745321</v>
      </c>
      <c r="S11" s="57">
        <v>2.4982348053734248E-7</v>
      </c>
      <c r="U11" s="127">
        <v>6.6661260963916202E-9</v>
      </c>
      <c r="V11" s="127">
        <v>6.6662002935429637E-9</v>
      </c>
      <c r="W11" s="128">
        <v>6.6662682071921065E-9</v>
      </c>
      <c r="X11" s="128">
        <f t="shared" si="0"/>
        <v>6.6661987226674144E-9</v>
      </c>
      <c r="Y11" s="139">
        <f t="shared" si="1"/>
        <v>0.17061055875470948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7.2058590852078226E-9</v>
      </c>
      <c r="K12" s="109">
        <v>5.2423709380729502E-10</v>
      </c>
      <c r="L12" s="152">
        <v>6.9363521217662658E-9</v>
      </c>
      <c r="M12" s="27"/>
      <c r="N12" s="18">
        <v>7.7705080585730459E-7</v>
      </c>
      <c r="O12" s="18">
        <v>3.7178703173384912E-12</v>
      </c>
      <c r="P12" s="18">
        <v>1.8589351586692456E-9</v>
      </c>
      <c r="Q12" s="28">
        <v>0.3564244713681643</v>
      </c>
      <c r="R12" s="60">
        <v>105.22908458275737</v>
      </c>
      <c r="S12" s="57">
        <v>2.4982348053734248E-7</v>
      </c>
      <c r="U12" s="127">
        <v>6.93626388713583E-9</v>
      </c>
      <c r="V12" s="127">
        <v>6.9363521217662658E-9</v>
      </c>
      <c r="W12" s="128">
        <v>6.9364334194841335E-9</v>
      </c>
      <c r="X12" s="128">
        <f t="shared" si="0"/>
        <v>6.9363503875381238E-9</v>
      </c>
      <c r="Y12" s="139">
        <f t="shared" si="1"/>
        <v>0.26429568707441586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9.2201899193900001E-3</v>
      </c>
      <c r="J13" s="109">
        <v>5.3822325461144352E-9</v>
      </c>
      <c r="K13" s="109">
        <v>4.6581241764493273E-10</v>
      </c>
      <c r="L13" s="152">
        <v>7.217346500748317E-9</v>
      </c>
      <c r="M13" s="27"/>
      <c r="N13" s="18">
        <v>8.8422599478003031E-7</v>
      </c>
      <c r="O13" s="18">
        <v>4.2306597651421388E-12</v>
      </c>
      <c r="P13" s="18">
        <v>2.1153298825710695E-9</v>
      </c>
      <c r="Q13" s="28">
        <v>0.34423792305596057</v>
      </c>
      <c r="R13" s="60">
        <v>105.22908458275737</v>
      </c>
      <c r="S13" s="57">
        <v>3.520519868644961E-7</v>
      </c>
      <c r="U13" s="127">
        <v>7.2172411712099334E-9</v>
      </c>
      <c r="V13" s="127">
        <v>7.217346500748317E-9</v>
      </c>
      <c r="W13" s="128">
        <v>7.2174442568588538E-9</v>
      </c>
      <c r="X13" s="128">
        <f t="shared" si="0"/>
        <v>7.2173446073913551E-9</v>
      </c>
      <c r="Y13" s="139">
        <f t="shared" si="1"/>
        <v>15.520405208251209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1.210589058721542</v>
      </c>
      <c r="I14" s="109">
        <v>9.3123918185800004E-3</v>
      </c>
      <c r="J14" s="109">
        <v>7.9431512933365298E-9</v>
      </c>
      <c r="K14" s="109">
        <v>5.3205825878942223E-10</v>
      </c>
      <c r="L14" s="152">
        <v>7.5095750724088407E-9</v>
      </c>
      <c r="M14" s="27"/>
      <c r="N14" s="18">
        <v>9.9142215018661198E-7</v>
      </c>
      <c r="O14" s="18">
        <v>4.7435495289964222E-12</v>
      </c>
      <c r="P14" s="18">
        <v>2.3717747644982111E-9</v>
      </c>
      <c r="Q14" s="28">
        <v>0.33845530897829107</v>
      </c>
      <c r="R14" s="60">
        <v>105.75370152643617</v>
      </c>
      <c r="S14" s="57">
        <v>3.520519868644961E-7</v>
      </c>
      <c r="U14" s="127">
        <v>7.5094489561074893E-9</v>
      </c>
      <c r="V14" s="127">
        <v>7.5095750724088407E-9</v>
      </c>
      <c r="W14" s="128">
        <v>7.5096930715789962E-9</v>
      </c>
      <c r="X14" s="128">
        <f t="shared" si="0"/>
        <v>7.5095730431260426E-9</v>
      </c>
      <c r="Y14" s="139">
        <f t="shared" si="1"/>
        <v>0.66407418664614026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641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9.4055157367700006E-3</v>
      </c>
      <c r="J15" s="109">
        <v>8.3267471634280418E-9</v>
      </c>
      <c r="K15" s="109">
        <v>5.52709187751904E-10</v>
      </c>
      <c r="L15" s="152">
        <v>7.8134174023055502E-9</v>
      </c>
      <c r="M15" s="27"/>
      <c r="N15" s="18">
        <v>1.0986206418749772E-6</v>
      </c>
      <c r="O15" s="18">
        <v>5.2564504710035772E-12</v>
      </c>
      <c r="P15" s="18">
        <v>2.628225235501789E-9</v>
      </c>
      <c r="Q15" s="28">
        <v>0.33845530897829107</v>
      </c>
      <c r="R15" s="60">
        <v>105.75370152643617</v>
      </c>
      <c r="S15" s="57">
        <v>4.5694113131399844E-7</v>
      </c>
      <c r="U15" s="127">
        <v>7.8132662284100813E-9</v>
      </c>
      <c r="V15" s="127">
        <v>7.8134174023055502E-9</v>
      </c>
      <c r="W15" s="128">
        <v>7.813560150447011E-9</v>
      </c>
      <c r="X15" s="128">
        <f t="shared" si="0"/>
        <v>7.8134152958670486E-9</v>
      </c>
      <c r="Y15" s="139">
        <f t="shared" si="1"/>
        <v>0.86258734854608798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1.5400000000000001E-6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0.24069629974121684</v>
      </c>
      <c r="I16" s="109">
        <v>9.4995708941299998E-3</v>
      </c>
      <c r="J16" s="109">
        <v>8.3496050421795063E-9</v>
      </c>
      <c r="K16" s="109">
        <v>5.3950944798893405E-10</v>
      </c>
      <c r="L16" s="152">
        <v>8.1292164131084526E-9</v>
      </c>
      <c r="M16" s="27"/>
      <c r="N16" s="18">
        <v>1.2058167972815588E-6</v>
      </c>
      <c r="O16" s="18">
        <v>5.7693402348578606E-12</v>
      </c>
      <c r="P16" s="18">
        <v>2.8846701174289306E-9</v>
      </c>
      <c r="Q16" s="28">
        <v>0.34423792305596057</v>
      </c>
      <c r="R16" s="60">
        <v>106.2067111698907</v>
      </c>
      <c r="S16" s="57">
        <v>4.5694113131399844E-7</v>
      </c>
      <c r="U16" s="127">
        <v>8.129035829153626E-9</v>
      </c>
      <c r="V16" s="127">
        <v>8.1292164131084526E-9</v>
      </c>
      <c r="W16" s="128">
        <v>8.1293887628432977E-9</v>
      </c>
      <c r="X16" s="128">
        <f t="shared" si="0"/>
        <v>8.1292143545534564E-9</v>
      </c>
      <c r="Y16" s="139">
        <f t="shared" si="1"/>
        <v>0.1668738826466527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642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9.5945666030799997E-3</v>
      </c>
      <c r="J17" s="109">
        <v>8.522670387621006E-9</v>
      </c>
      <c r="K17" s="109">
        <v>5.442217590133646E-10</v>
      </c>
      <c r="L17" s="152">
        <v>8.4572186785296697E-9</v>
      </c>
      <c r="M17" s="27"/>
      <c r="N17" s="18">
        <v>1.3129919862042846E-6</v>
      </c>
      <c r="O17" s="18">
        <v>6.2821296826615082E-12</v>
      </c>
      <c r="P17" s="18">
        <v>3.1410648413307545E-9</v>
      </c>
      <c r="Q17" s="28">
        <v>0.3564244713681643</v>
      </c>
      <c r="R17" s="60">
        <v>106.2067111698907</v>
      </c>
      <c r="S17" s="57">
        <v>5.6314445264012318E-7</v>
      </c>
      <c r="U17" s="127">
        <v>8.4570064550167682E-9</v>
      </c>
      <c r="V17" s="127">
        <v>8.4572186785296697E-9</v>
      </c>
      <c r="W17" s="128">
        <v>8.4574238425254665E-9</v>
      </c>
      <c r="X17" s="128">
        <f t="shared" si="0"/>
        <v>8.4572169136503931E-9</v>
      </c>
      <c r="Y17" s="139">
        <f t="shared" si="1"/>
        <v>1.4464838873092637E-2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223.25</v>
      </c>
      <c r="D18" s="159">
        <v>44.06</v>
      </c>
      <c r="E18" s="159">
        <v>48.06</v>
      </c>
      <c r="F18" s="104"/>
      <c r="G18" s="104"/>
      <c r="H18" s="160">
        <v>0.30776416582586147</v>
      </c>
      <c r="I18" s="109">
        <v>9.69051226911E-3</v>
      </c>
      <c r="J18" s="109">
        <v>7.872344762618785E-9</v>
      </c>
      <c r="K18" s="109">
        <v>5.1107534092865963E-10</v>
      </c>
      <c r="L18" s="152">
        <v>8.7960386682004696E-9</v>
      </c>
      <c r="N18" s="18">
        <v>1.4200763143007979E-6</v>
      </c>
      <c r="O18" s="18">
        <v>6.7944843985708755E-12</v>
      </c>
      <c r="P18" s="18">
        <v>3.397242199285438E-9</v>
      </c>
      <c r="Q18" s="28">
        <v>0.37643634267771403</v>
      </c>
      <c r="R18" s="60">
        <v>106.61366921319498</v>
      </c>
      <c r="S18" s="57">
        <v>5.6314445264012318E-7</v>
      </c>
      <c r="U18" s="127">
        <v>8.795832571450112E-9</v>
      </c>
      <c r="V18" s="127">
        <v>8.7960386682004696E-9</v>
      </c>
      <c r="W18" s="128">
        <v>8.7962399189648909E-9</v>
      </c>
      <c r="X18" s="128">
        <f t="shared" si="0"/>
        <v>8.7960374567039855E-9</v>
      </c>
      <c r="Y18" s="139">
        <f t="shared" si="1"/>
        <v>3.2665188083223726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9.7874173918000001E-3</v>
      </c>
      <c r="J19" s="109">
        <v>9.3929320103504944E-9</v>
      </c>
      <c r="K19" s="109">
        <v>4.1139940568843583E-10</v>
      </c>
      <c r="L19" s="152">
        <v>9.1320884870329732E-9</v>
      </c>
      <c r="N19" s="18">
        <v>1.5268983394214662E-6</v>
      </c>
      <c r="O19" s="18">
        <v>7.3055841020142692E-12</v>
      </c>
      <c r="P19" s="18">
        <v>3.6527920510071346E-9</v>
      </c>
      <c r="Q19" s="28">
        <v>0.40695804330428198</v>
      </c>
      <c r="R19" s="60">
        <v>106.61366921319498</v>
      </c>
      <c r="S19" s="57">
        <v>6.6996647776079111E-7</v>
      </c>
      <c r="U19" s="127">
        <v>9.1321964151401118E-9</v>
      </c>
      <c r="V19" s="127">
        <v>9.1320884870329732E-9</v>
      </c>
      <c r="W19" s="128">
        <v>9.1319774546796144E-9</v>
      </c>
      <c r="X19" s="128">
        <f t="shared" si="0"/>
        <v>9.1320877109714177E-9</v>
      </c>
      <c r="Y19" s="139">
        <f t="shared" si="1"/>
        <v>0.4020086332691728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0.13015447010308995</v>
      </c>
      <c r="I20" s="109">
        <v>9.8852915657199995E-3</v>
      </c>
      <c r="J20" s="109">
        <v>9.4596716734621546E-9</v>
      </c>
      <c r="K20" s="109">
        <v>3.9979547806631144E-10</v>
      </c>
      <c r="L20" s="152">
        <v>9.389395081431591E-9</v>
      </c>
      <c r="N20" s="18">
        <v>1.6331016607475906E-6</v>
      </c>
      <c r="O20" s="18">
        <v>7.8137235608306465E-12</v>
      </c>
      <c r="P20" s="18">
        <v>3.9068617804153232E-9</v>
      </c>
      <c r="Q20" s="28">
        <v>0.45300964345452155</v>
      </c>
      <c r="R20" s="60">
        <v>106.9901055558727</v>
      </c>
      <c r="S20" s="57">
        <v>6.6996647776079111E-7</v>
      </c>
      <c r="U20" s="127">
        <v>9.3913746944741174E-9</v>
      </c>
      <c r="V20" s="127">
        <v>9.389395081431591E-9</v>
      </c>
      <c r="W20" s="128">
        <v>9.3874157477890994E-9</v>
      </c>
      <c r="X20" s="128">
        <f t="shared" si="0"/>
        <v>9.3893951512816005E-9</v>
      </c>
      <c r="Y20" s="139">
        <f t="shared" si="1"/>
        <v>3.0899024374269193E-2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9.9841444813699998E-3</v>
      </c>
      <c r="J21" s="109">
        <v>9.1645430432360155E-9</v>
      </c>
      <c r="K21" s="109">
        <v>3.9610185008790699E-10</v>
      </c>
      <c r="L21" s="152">
        <v>9.3419916155714161E-9</v>
      </c>
      <c r="M21" s="31"/>
      <c r="N21" s="18">
        <v>1.737990805197093E-6</v>
      </c>
      <c r="O21" s="18">
        <v>8.3155752207482941E-12</v>
      </c>
      <c r="P21" s="30">
        <v>4.1577876103741469E-9</v>
      </c>
      <c r="Q21" s="65">
        <v>0.52461694367881051</v>
      </c>
      <c r="R21" s="62">
        <v>106.9901055558727</v>
      </c>
      <c r="S21" s="61">
        <v>7.7705080585730459E-7</v>
      </c>
      <c r="T21" s="75"/>
      <c r="U21" s="127">
        <v>9.3497830664760271E-9</v>
      </c>
      <c r="V21" s="127">
        <v>9.3419916155714161E-9</v>
      </c>
      <c r="W21" s="128">
        <v>9.3343204036790171E-9</v>
      </c>
      <c r="X21" s="128">
        <f t="shared" si="0"/>
        <v>9.3420216753244683E-9</v>
      </c>
      <c r="Y21" s="139">
        <f t="shared" si="1"/>
        <v>0.20076056244586918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1.0083985926200001E-2</v>
      </c>
      <c r="J22" s="109">
        <v>8.9083874005061242E-9</v>
      </c>
      <c r="K22" s="109">
        <v>3.7861250714851716E-10</v>
      </c>
      <c r="L22" s="152">
        <v>8.6962277012464888E-9</v>
      </c>
      <c r="N22" s="18">
        <v>1.8402193115242467E-6</v>
      </c>
      <c r="O22" s="18">
        <v>8.8046968153655827E-12</v>
      </c>
      <c r="P22" s="18">
        <v>4.402348407682792E-9</v>
      </c>
      <c r="Q22" s="28">
        <v>0.64466179530416357</v>
      </c>
      <c r="R22" s="60">
        <v>107.34653002724086</v>
      </c>
      <c r="S22" s="57">
        <v>7.7705080585730459E-7</v>
      </c>
      <c r="U22" s="127">
        <v>8.7121549013950751E-9</v>
      </c>
      <c r="V22" s="127">
        <v>8.6962277012464888E-9</v>
      </c>
      <c r="W22" s="128">
        <v>8.6811724030578308E-9</v>
      </c>
      <c r="X22" s="128">
        <f t="shared" si="0"/>
        <v>8.6964456767364704E-9</v>
      </c>
      <c r="Y22" s="139">
        <f t="shared" si="1"/>
        <v>0.31335960537319013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1.01848257854E-2</v>
      </c>
      <c r="J23" s="109">
        <v>7.6849662158143233E-9</v>
      </c>
      <c r="K23" s="109">
        <v>3.4911661819637891E-10</v>
      </c>
      <c r="L23" s="152">
        <v>7.4936029821959944E-9</v>
      </c>
      <c r="N23" s="18">
        <v>1.9370862167149674E-6</v>
      </c>
      <c r="O23" s="18">
        <v>9.2681653412667804E-12</v>
      </c>
      <c r="P23" s="18">
        <v>4.6340826706333911E-9</v>
      </c>
      <c r="Q23" s="28">
        <v>0.87988153953834225</v>
      </c>
      <c r="R23" s="60">
        <v>107.34653002724086</v>
      </c>
      <c r="S23" s="57">
        <v>8.8422599478003031E-7</v>
      </c>
      <c r="U23" s="127">
        <v>7.507602279760031E-9</v>
      </c>
      <c r="V23" s="127">
        <v>7.4936029821959944E-9</v>
      </c>
      <c r="W23" s="128">
        <v>7.4825841044070377E-9</v>
      </c>
      <c r="X23" s="128">
        <f t="shared" si="0"/>
        <v>7.4943480871397644E-9</v>
      </c>
      <c r="Y23" s="139">
        <f t="shared" si="1"/>
        <v>0.29811742362959082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1.02866740433E-2</v>
      </c>
      <c r="J24" s="109">
        <v>6.5249732745305145E-9</v>
      </c>
      <c r="K24" s="109">
        <v>4.5620418340165169E-10</v>
      </c>
      <c r="L24" s="152">
        <v>6.2433522979730839E-9</v>
      </c>
      <c r="N24" s="18">
        <v>2.0226915429477034E-6</v>
      </c>
      <c r="O24" s="18">
        <v>9.6777518174761795E-12</v>
      </c>
      <c r="P24" s="18">
        <v>4.8388759087380908E-9</v>
      </c>
      <c r="Q24" s="28">
        <v>1.581158808296107</v>
      </c>
      <c r="R24" s="60">
        <v>107.69076795029682</v>
      </c>
      <c r="S24" s="57">
        <v>8.8422599478003031E-7</v>
      </c>
      <c r="U24" s="127">
        <v>6.2330475824268413E-9</v>
      </c>
      <c r="V24" s="127">
        <v>6.2433522979730839E-9</v>
      </c>
      <c r="W24" s="128">
        <v>6.2597050492328179E-9</v>
      </c>
      <c r="X24" s="128">
        <f t="shared" si="0"/>
        <v>6.2448643069014561E-9</v>
      </c>
      <c r="Y24" s="139">
        <f t="shared" si="1"/>
        <v>0.37699492065316365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1.5802074511632338E-6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5</v>
      </c>
      <c r="H25" s="149">
        <v>200</v>
      </c>
      <c r="I25" s="109">
        <v>1.03895407837E-2</v>
      </c>
      <c r="J25" s="109">
        <v>5.4900727228808562E-9</v>
      </c>
      <c r="K25" s="109">
        <v>4.2308369245058429E-10</v>
      </c>
      <c r="L25" s="152">
        <v>5.3930115084857723E-9</v>
      </c>
      <c r="N25" s="18">
        <v>2.0818664069255459E-6</v>
      </c>
      <c r="O25" s="18">
        <v>9.960879341001539E-12</v>
      </c>
      <c r="P25" s="18">
        <v>4.98043967050077E-9</v>
      </c>
      <c r="Q25" s="28">
        <v>2.1233824396187471</v>
      </c>
      <c r="R25" s="60">
        <v>107.69076795029682</v>
      </c>
      <c r="S25" s="57">
        <v>9.9142215018661198E-7</v>
      </c>
      <c r="U25" s="127">
        <v>5.3425963131950526E-9</v>
      </c>
      <c r="V25" s="127">
        <v>5.3930115084857723E-9</v>
      </c>
      <c r="W25" s="128">
        <v>5.4516069069467027E-9</v>
      </c>
      <c r="X25" s="128">
        <f t="shared" si="0"/>
        <v>5.3950565592783248E-9</v>
      </c>
      <c r="Y25" s="139">
        <f t="shared" si="1"/>
        <v>5.0436206074773691E-2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1.5802074511632338E-6</v>
      </c>
      <c r="D26" s="101">
        <v>1.5392483148537927E-10</v>
      </c>
      <c r="E26" s="101">
        <v>5.0509225500401457E-8</v>
      </c>
      <c r="F26" s="149">
        <f>(H31-H25)*H29</f>
        <v>878.64317025755554</v>
      </c>
      <c r="G26" s="149">
        <v>55.42680874121109</v>
      </c>
      <c r="H26" s="111" t="s">
        <v>599</v>
      </c>
      <c r="I26" s="109">
        <v>1.04934361916E-2</v>
      </c>
      <c r="J26" s="109">
        <v>5.1127651020023201E-9</v>
      </c>
      <c r="K26" s="109">
        <v>4.0079715044651062E-10</v>
      </c>
      <c r="L26" s="152">
        <v>4.9624307360245586E-9</v>
      </c>
      <c r="N26" s="18">
        <v>2.0900427920615892E-6</v>
      </c>
      <c r="O26" s="18">
        <v>9.9999999999999994E-12</v>
      </c>
      <c r="P26" s="18">
        <v>5.0000000000000001E-9</v>
      </c>
      <c r="Q26" s="28">
        <v>675.57653784979846</v>
      </c>
      <c r="R26" s="60">
        <v>108.02922325927511</v>
      </c>
      <c r="S26" s="57">
        <v>9.9142215018661198E-7</v>
      </c>
      <c r="U26" s="127">
        <v>4.874366078263321E-9</v>
      </c>
      <c r="V26" s="127">
        <v>4.9624307360245586E-9</v>
      </c>
      <c r="W26" s="128">
        <v>5.0584782192722767E-9</v>
      </c>
      <c r="X26" s="128">
        <f t="shared" si="0"/>
        <v>4.9644264423961787E-9</v>
      </c>
      <c r="Y26" s="139">
        <f t="shared" si="1"/>
        <v>0.1369807218415201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9.6774070930268282E-7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0.03</v>
      </c>
      <c r="I27" s="109">
        <v>1.05983705535E-2</v>
      </c>
      <c r="J27" s="109">
        <v>4.8493898909071397E-9</v>
      </c>
      <c r="K27" s="109">
        <v>3.8372609005328251E-10</v>
      </c>
      <c r="L27" s="152">
        <v>4.7580480964967122E-9</v>
      </c>
      <c r="N27" s="18">
        <v>2.0889081277298188E-6</v>
      </c>
      <c r="O27" s="18">
        <v>1.056304342539504E-11</v>
      </c>
      <c r="P27" s="18">
        <v>5.1780350892085253E-9</v>
      </c>
      <c r="Q27" s="28">
        <v>65.297756471643737</v>
      </c>
      <c r="R27" s="60">
        <v>108.02922325927511</v>
      </c>
      <c r="S27" s="57">
        <v>1.0986206418749772E-6</v>
      </c>
      <c r="U27" s="127">
        <v>4.6456985731783193E-9</v>
      </c>
      <c r="V27" s="127">
        <v>4.7580480964967122E-9</v>
      </c>
      <c r="W27" s="128">
        <v>4.876116391650376E-9</v>
      </c>
      <c r="X27" s="128">
        <f t="shared" si="0"/>
        <v>4.7594777894555299E-9</v>
      </c>
      <c r="Y27" s="139">
        <f t="shared" si="1"/>
        <v>5.4902692019621752E-2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22.028473791051074</v>
      </c>
      <c r="G28" s="102">
        <v>5</v>
      </c>
      <c r="H28" s="134" t="s">
        <v>600</v>
      </c>
      <c r="I28" s="109">
        <v>1.0704354259E-2</v>
      </c>
      <c r="J28" s="109">
        <v>4.3942881167118024E-9</v>
      </c>
      <c r="K28" s="109">
        <v>3.5494494662322632E-10</v>
      </c>
      <c r="L28" s="152">
        <v>4.6305614083663589E-9</v>
      </c>
      <c r="N28" s="18">
        <v>2.0806962337967603E-6</v>
      </c>
      <c r="O28" s="18">
        <v>1.4637951536621044E-11</v>
      </c>
      <c r="P28" s="18">
        <v>6.4665265205571022E-9</v>
      </c>
      <c r="Q28" s="28">
        <v>48.623423119978071</v>
      </c>
      <c r="R28" s="60">
        <v>108.36767856825341</v>
      </c>
      <c r="S28" s="57">
        <v>1.0986206418749772E-6</v>
      </c>
      <c r="U28" s="127">
        <v>4.5081269621956429E-9</v>
      </c>
      <c r="V28" s="127">
        <v>4.6305614083663589E-9</v>
      </c>
      <c r="W28" s="128">
        <v>4.7553081678950161E-9</v>
      </c>
      <c r="X28" s="128">
        <f t="shared" si="0"/>
        <v>4.6311394867058444E-9</v>
      </c>
      <c r="Y28" s="139">
        <f t="shared" si="1"/>
        <v>0.44527653276693885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2.0532802858060381E-6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1.08113978016E-2</v>
      </c>
      <c r="J29" s="109">
        <v>5.0635515028051531E-9</v>
      </c>
      <c r="K29" s="109">
        <v>3.818852856085729E-10</v>
      </c>
      <c r="L29" s="152">
        <v>4.5149592169303734E-9</v>
      </c>
      <c r="N29" s="18">
        <v>2.0688164961535723E-6</v>
      </c>
      <c r="O29" s="18">
        <v>2.0532917993333852E-11</v>
      </c>
      <c r="P29" s="18">
        <v>8.3305228513299389E-9</v>
      </c>
      <c r="Q29" s="28">
        <v>27.057909786136101</v>
      </c>
      <c r="R29" s="60">
        <v>108.36767856825341</v>
      </c>
      <c r="S29" s="57">
        <v>1.2058167972815588E-6</v>
      </c>
      <c r="U29" s="127">
        <v>4.3939160006700023E-9</v>
      </c>
      <c r="V29" s="127">
        <v>4.5149592169303734E-9</v>
      </c>
      <c r="W29" s="128">
        <v>4.6344203171113852E-9</v>
      </c>
      <c r="X29" s="128">
        <f t="shared" si="0"/>
        <v>4.5145636879105338E-9</v>
      </c>
      <c r="Y29" s="139">
        <f t="shared" si="1"/>
        <v>2.0666149197432762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1.0919511779600001E-2</v>
      </c>
      <c r="J30" s="109">
        <v>5.3573043698838187E-9</v>
      </c>
      <c r="K30" s="109">
        <v>3.9452269659858791E-10</v>
      </c>
      <c r="L30" s="152">
        <v>4.3865997926166955E-9</v>
      </c>
      <c r="N30" s="18">
        <v>2.0553739515057688E-6</v>
      </c>
      <c r="O30" s="18">
        <v>2.7203380942244557E-11</v>
      </c>
      <c r="P30" s="18">
        <v>1.0439732217087566E-8</v>
      </c>
      <c r="Q30" s="28">
        <v>19.824487633938453</v>
      </c>
      <c r="R30" s="60">
        <v>108.71191649130937</v>
      </c>
      <c r="S30" s="57">
        <v>1.2058167972815588E-6</v>
      </c>
      <c r="U30" s="127">
        <v>4.2759412529287769E-9</v>
      </c>
      <c r="V30" s="127">
        <v>4.3865997926166955E-9</v>
      </c>
      <c r="W30" s="128">
        <v>4.4915965168004239E-9</v>
      </c>
      <c r="X30" s="128">
        <f t="shared" si="0"/>
        <v>4.3851843387406484E-9</v>
      </c>
      <c r="Y30" s="139">
        <f t="shared" si="1"/>
        <v>6.0714971914532612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1078.6431702575555</v>
      </c>
      <c r="I31" s="109">
        <v>1.1028706897400001E-2</v>
      </c>
      <c r="J31" s="109">
        <v>4.3265672349643213E-9</v>
      </c>
      <c r="K31" s="109">
        <v>3.5880641833079311E-10</v>
      </c>
      <c r="L31" s="152">
        <v>4.2375166631781082E-9</v>
      </c>
      <c r="N31" s="18">
        <v>2.0411873595229306E-6</v>
      </c>
      <c r="O31" s="18">
        <v>3.4243055250359895E-11</v>
      </c>
      <c r="P31" s="18">
        <v>1.2665686711742984E-8</v>
      </c>
      <c r="Q31" s="28">
        <v>16.132896641731541</v>
      </c>
      <c r="R31" s="60">
        <v>108.71191649130937</v>
      </c>
      <c r="S31" s="57">
        <v>1.3129919862042846E-6</v>
      </c>
      <c r="U31" s="127">
        <v>4.1443016288290169E-9</v>
      </c>
      <c r="V31" s="127">
        <v>4.2375166631781082E-9</v>
      </c>
      <c r="W31" s="128">
        <v>4.3209875902504196E-9</v>
      </c>
      <c r="X31" s="128">
        <f t="shared" si="0"/>
        <v>4.2350806363589128E-9</v>
      </c>
      <c r="Y31" s="139">
        <f t="shared" si="1"/>
        <v>6.5012154110786285E-2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1.11389939664E-2</v>
      </c>
      <c r="J32" s="109">
        <v>4.3651306443968266E-9</v>
      </c>
      <c r="K32" s="109">
        <v>3.6049220468524182E-10</v>
      </c>
      <c r="L32" s="152">
        <v>4.0649070848931935E-9</v>
      </c>
      <c r="N32" s="18">
        <v>2.0266315418826725E-6</v>
      </c>
      <c r="O32" s="18">
        <v>4.1465946808790422E-11</v>
      </c>
      <c r="P32" s="18">
        <v>1.4949574747637285E-8</v>
      </c>
      <c r="Q32" s="28">
        <v>13.930845817351056</v>
      </c>
      <c r="R32" s="60">
        <v>109.06834096267752</v>
      </c>
      <c r="S32" s="57">
        <v>1.3129919862042846E-6</v>
      </c>
      <c r="U32" s="127">
        <v>3.9946820110721152E-9</v>
      </c>
      <c r="V32" s="127">
        <v>4.0649070848931935E-9</v>
      </c>
      <c r="W32" s="128">
        <v>4.1214686902716089E-9</v>
      </c>
      <c r="X32" s="128">
        <f t="shared" si="0"/>
        <v>4.061491217782528E-9</v>
      </c>
      <c r="Y32" s="139">
        <f t="shared" si="1"/>
        <v>0.70945453540898362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1.12503839061E-2</v>
      </c>
      <c r="J33" s="109">
        <v>4.5085868282581464E-9</v>
      </c>
      <c r="K33" s="109">
        <v>3.5305634522882072E-10</v>
      </c>
      <c r="L33" s="152">
        <v>3.8687008232407067E-9</v>
      </c>
      <c r="N33" s="18">
        <v>2.0118933515186822E-6</v>
      </c>
      <c r="O33" s="18">
        <v>4.8779335406912324E-11</v>
      </c>
      <c r="P33" s="18">
        <v>1.7262078069329932E-8</v>
      </c>
      <c r="Q33" s="28">
        <v>12.514677860211988</v>
      </c>
      <c r="R33" s="60">
        <v>109.06834096267752</v>
      </c>
      <c r="S33" s="57">
        <v>1.4200763143007979E-6</v>
      </c>
      <c r="U33" s="127">
        <v>3.8256414498104132E-9</v>
      </c>
      <c r="V33" s="127">
        <v>3.8687008232407067E-9</v>
      </c>
      <c r="W33" s="128">
        <v>3.8945435259945068E-9</v>
      </c>
      <c r="X33" s="128">
        <f t="shared" si="0"/>
        <v>3.8643966555715832E-9</v>
      </c>
      <c r="Y33" s="139">
        <f t="shared" si="1"/>
        <v>3.3292020099208117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1.1362887745099999E-2</v>
      </c>
      <c r="J34" s="109">
        <v>4.1745559668512408E-9</v>
      </c>
      <c r="K34" s="109">
        <v>3.3849463916702331E-10</v>
      </c>
      <c r="L34" s="152">
        <v>3.6506119077136737E-9</v>
      </c>
      <c r="N34" s="18">
        <v>1.9970693015583152E-6</v>
      </c>
      <c r="O34" s="18">
        <v>5.613532927594409E-11</v>
      </c>
      <c r="P34" s="18">
        <v>1.9588053235049304E-8</v>
      </c>
      <c r="Q34" s="28">
        <v>11.576081714068906</v>
      </c>
      <c r="R34" s="60">
        <v>109.44477730535525</v>
      </c>
      <c r="S34" s="57">
        <v>1.4200763143007979E-6</v>
      </c>
      <c r="U34" s="127">
        <v>3.6375230423097128E-9</v>
      </c>
      <c r="V34" s="127">
        <v>3.6506119077136737E-9</v>
      </c>
      <c r="W34" s="128">
        <v>3.6435468745463805E-9</v>
      </c>
      <c r="X34" s="128">
        <f t="shared" si="0"/>
        <v>3.6455734330708601E-9</v>
      </c>
      <c r="Y34" s="139">
        <f t="shared" si="1"/>
        <v>2.4421878988046593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1.210589058721542</v>
      </c>
      <c r="I35" s="109">
        <v>1.14765166226E-2</v>
      </c>
      <c r="J35" s="109">
        <v>3.8277752334585871E-9</v>
      </c>
      <c r="K35" s="109">
        <v>3.2242475178542238E-10</v>
      </c>
      <c r="L35" s="152">
        <v>3.4137215442907491E-9</v>
      </c>
      <c r="N35" s="18">
        <v>1.9822088509360599E-6</v>
      </c>
      <c r="O35" s="18">
        <v>6.3509385890743584E-11</v>
      </c>
      <c r="P35" s="18">
        <v>2.1919739865300652E-8</v>
      </c>
      <c r="Q35" s="28">
        <v>10.960681362756084</v>
      </c>
      <c r="R35" s="60">
        <v>109.44477730535525</v>
      </c>
      <c r="S35" s="57">
        <v>1.5268983394214662E-6</v>
      </c>
      <c r="U35" s="127">
        <v>3.4319717131079302E-9</v>
      </c>
      <c r="V35" s="127">
        <v>3.4137215442907491E-9</v>
      </c>
      <c r="W35" s="128">
        <v>3.373280321333959E-9</v>
      </c>
      <c r="X35" s="128">
        <f t="shared" si="0"/>
        <v>3.4081737807558467E-9</v>
      </c>
      <c r="Y35" s="139">
        <f t="shared" si="1"/>
        <v>1.6936248520574508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641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1.1591281788799999E-2</v>
      </c>
      <c r="J36" s="109">
        <v>3.630222435071679E-9</v>
      </c>
      <c r="K36" s="109">
        <v>3.097145501731802E-10</v>
      </c>
      <c r="L36" s="152">
        <v>3.1622310627960606E-9</v>
      </c>
      <c r="N36" s="18">
        <v>1.967335791252839E-6</v>
      </c>
      <c r="O36" s="18">
        <v>7.088969937700566E-11</v>
      </c>
      <c r="P36" s="18">
        <v>2.4253404926732906E-8</v>
      </c>
      <c r="Q36" s="28">
        <v>10.585923500454522</v>
      </c>
      <c r="R36" s="60">
        <v>109.85173534865953</v>
      </c>
      <c r="S36" s="57">
        <v>1.5268983394214662E-6</v>
      </c>
      <c r="U36" s="127">
        <v>3.2116755854475886E-9</v>
      </c>
      <c r="V36" s="127">
        <v>3.1622310627960606E-9</v>
      </c>
      <c r="W36" s="128">
        <v>3.0897500991219325E-9</v>
      </c>
      <c r="X36" s="128">
        <f t="shared" si="0"/>
        <v>3.1564719525404108E-9</v>
      </c>
      <c r="Y36" s="139">
        <f t="shared" si="1"/>
        <v>2.3397858663967441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1.5400000000000001E-6</v>
      </c>
      <c r="D37" s="157">
        <v>5.6499999999999999E-7</v>
      </c>
      <c r="E37" s="157">
        <v>5.7300000000000002E-6</v>
      </c>
      <c r="F37" s="102"/>
      <c r="G37" s="102"/>
      <c r="H37" s="160">
        <v>0.24069629974121684</v>
      </c>
      <c r="I37" s="109">
        <v>1.17071946067E-2</v>
      </c>
      <c r="J37" s="109">
        <v>3.6094817502780588E-9</v>
      </c>
      <c r="K37" s="109">
        <v>3.0491559079507972E-10</v>
      </c>
      <c r="L37" s="152">
        <v>2.9012525282265769E-9</v>
      </c>
      <c r="N37" s="18">
        <v>1.9524598219804781E-6</v>
      </c>
      <c r="O37" s="18">
        <v>7.8271456660336026E-11</v>
      </c>
      <c r="P37" s="18">
        <v>2.6587526518742132E-8</v>
      </c>
      <c r="Q37" s="28">
        <v>10.408097914837944</v>
      </c>
      <c r="R37" s="60">
        <v>109.85173534865953</v>
      </c>
      <c r="S37" s="57">
        <v>1.6331016607475906E-6</v>
      </c>
      <c r="U37" s="127">
        <v>2.9801857189944856E-9</v>
      </c>
      <c r="V37" s="127">
        <v>2.9012525282265769E-9</v>
      </c>
      <c r="W37" s="128">
        <v>2.7998919681239455E-9</v>
      </c>
      <c r="X37" s="128">
        <f t="shared" si="0"/>
        <v>2.8956456858928961E-9</v>
      </c>
      <c r="Y37" s="139">
        <f t="shared" si="1"/>
        <v>5.4807211823793853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642</v>
      </c>
      <c r="D38" s="158" t="s">
        <v>612</v>
      </c>
      <c r="E38" s="158" t="s">
        <v>614</v>
      </c>
      <c r="F38" s="104"/>
      <c r="G38" s="104"/>
      <c r="H38" s="144"/>
      <c r="I38" s="109">
        <v>1.18242665528E-2</v>
      </c>
      <c r="J38" s="109">
        <v>3.1606371527082231E-9</v>
      </c>
      <c r="K38" s="109">
        <v>2.8962338403381433E-10</v>
      </c>
      <c r="L38" s="152">
        <v>2.636583571172622E-9</v>
      </c>
      <c r="N38" s="18">
        <v>1.9419259096751541E-6</v>
      </c>
      <c r="O38" s="18">
        <v>8.3498597323113724E-11</v>
      </c>
      <c r="P38" s="18">
        <v>2.8240355434291938E-8</v>
      </c>
      <c r="Q38" s="28">
        <v>4.3113584216269309</v>
      </c>
      <c r="R38" s="60">
        <v>110.30474499211405</v>
      </c>
      <c r="S38" s="57">
        <v>1.6331016607475906E-6</v>
      </c>
      <c r="U38" s="127">
        <v>2.7417512699798106E-9</v>
      </c>
      <c r="V38" s="127">
        <v>2.636583571172622E-9</v>
      </c>
      <c r="W38" s="128">
        <v>2.5112444469113071E-9</v>
      </c>
      <c r="X38" s="128">
        <f t="shared" si="0"/>
        <v>2.6315407148090902E-9</v>
      </c>
      <c r="Y38" s="139">
        <f t="shared" si="1"/>
        <v>3.3373551718091057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223.25</v>
      </c>
      <c r="D39" s="159">
        <v>44.06</v>
      </c>
      <c r="E39" s="159">
        <v>48.06</v>
      </c>
      <c r="F39" s="104"/>
      <c r="G39" s="104"/>
      <c r="H39" s="108"/>
      <c r="I39" s="109">
        <v>1.19425092183E-2</v>
      </c>
      <c r="J39" s="109">
        <v>2.5973701868331662E-9</v>
      </c>
      <c r="K39" s="109">
        <v>2.5165996913912275E-10</v>
      </c>
      <c r="L39" s="152">
        <v>2.3744483658032816E-9</v>
      </c>
      <c r="N39" s="18">
        <v>1.9326607820178711E-6</v>
      </c>
      <c r="O39" s="18">
        <v>8.8096141342797217E-11</v>
      </c>
      <c r="P39" s="18">
        <v>2.9694105043587486E-8</v>
      </c>
      <c r="Q39" s="28">
        <v>8.6227168432538619</v>
      </c>
      <c r="R39" s="60">
        <v>110.30474499211405</v>
      </c>
      <c r="S39" s="57">
        <v>1.737990805197093E-6</v>
      </c>
      <c r="U39" s="127">
        <v>2.5011423677938203E-9</v>
      </c>
      <c r="V39" s="127">
        <v>2.3744483658032816E-9</v>
      </c>
      <c r="W39" s="128">
        <v>2.2315685452926859E-9</v>
      </c>
      <c r="X39" s="128">
        <f t="shared" si="0"/>
        <v>2.3704019111732672E-9</v>
      </c>
      <c r="Y39" s="139">
        <f t="shared" si="1"/>
        <v>0.81339601131177353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1.2061934310500001E-2</v>
      </c>
      <c r="J40" s="109">
        <v>2.1247164426817187E-9</v>
      </c>
      <c r="K40" s="109">
        <v>1.4997869790235755E-10</v>
      </c>
      <c r="L40" s="152">
        <v>2.1212063619060846E-9</v>
      </c>
      <c r="N40" s="18">
        <v>1.9204405875512467E-6</v>
      </c>
      <c r="O40" s="18">
        <v>9.4160049371655465E-11</v>
      </c>
      <c r="P40" s="18">
        <v>3.161152092694073E-8</v>
      </c>
      <c r="Q40" s="28">
        <v>8.6227168432538619</v>
      </c>
      <c r="R40" s="60">
        <v>110.82936193579286</v>
      </c>
      <c r="S40" s="57">
        <v>1.737990805197093E-6</v>
      </c>
      <c r="U40" s="127">
        <v>2.263451300950888E-9</v>
      </c>
      <c r="V40" s="127">
        <v>2.1212063619060846E-9</v>
      </c>
      <c r="W40" s="128">
        <v>1.9684338010136184E-9</v>
      </c>
      <c r="X40" s="128">
        <f t="shared" si="0"/>
        <v>2.118574456444169E-9</v>
      </c>
      <c r="Y40" s="139">
        <f t="shared" si="1"/>
        <v>1.6770983064347011E-3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1.2182553653599999E-2</v>
      </c>
      <c r="J41" s="109">
        <v>1.8031297933513477E-9</v>
      </c>
      <c r="K41" s="109">
        <v>1.3547950133824097E-10</v>
      </c>
      <c r="L41" s="152">
        <v>1.8830426127096158E-9</v>
      </c>
      <c r="N41" s="18">
        <v>1.9084969104115585E-6</v>
      </c>
      <c r="O41" s="18">
        <v>1.0008674390170206E-10</v>
      </c>
      <c r="P41" s="18">
        <v>3.3485549717221341E-8</v>
      </c>
      <c r="Q41" s="28">
        <v>8.6227168432538619</v>
      </c>
      <c r="R41" s="60">
        <v>110.82936193579286</v>
      </c>
      <c r="S41" s="57">
        <v>1.8402193115242467E-6</v>
      </c>
      <c r="U41" s="127">
        <v>2.0338737039387297E-9</v>
      </c>
      <c r="V41" s="127">
        <v>1.8830426127096158E-9</v>
      </c>
      <c r="W41" s="128">
        <v>1.7288029701226501E-9</v>
      </c>
      <c r="X41" s="128">
        <f t="shared" si="0"/>
        <v>1.8821904748701527E-9</v>
      </c>
      <c r="Y41" s="139">
        <f t="shared" si="1"/>
        <v>0.34054454546327334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1.2304379190100001E-2</v>
      </c>
      <c r="J42" s="109">
        <v>1.8323015124240673E-9</v>
      </c>
      <c r="K42" s="109">
        <v>1.3344411071522101E-10</v>
      </c>
      <c r="L42" s="152">
        <v>1.6656606481127717E-9</v>
      </c>
      <c r="N42" s="18">
        <v>1.8969563244877234E-6</v>
      </c>
      <c r="O42" s="18">
        <v>1.058134164053519E-10</v>
      </c>
      <c r="P42" s="18">
        <v>3.5296331273439629E-8</v>
      </c>
      <c r="Q42" s="28">
        <v>8.6227168432538619</v>
      </c>
      <c r="R42" s="60">
        <v>111.47402373109702</v>
      </c>
      <c r="S42" s="57">
        <v>1.8402193115242467E-6</v>
      </c>
      <c r="U42" s="127">
        <v>1.8174786160104145E-9</v>
      </c>
      <c r="V42" s="127">
        <v>1.6656606481127717E-9</v>
      </c>
      <c r="W42" s="128">
        <v>1.518652387048942E-9</v>
      </c>
      <c r="X42" s="128">
        <f t="shared" si="0"/>
        <v>1.6668630748212249E-9</v>
      </c>
      <c r="Y42" s="139">
        <f t="shared" si="1"/>
        <v>1.537000526427919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1.3634926220504592E-9</v>
      </c>
      <c r="K43" s="109">
        <v>1.1813650163880202E-10</v>
      </c>
      <c r="L43" s="152">
        <v>1.4740013938311777E-9</v>
      </c>
      <c r="N43" s="18">
        <v>1.8859321281374977E-6</v>
      </c>
      <c r="O43" s="18">
        <v>1.1128384594249414E-10</v>
      </c>
      <c r="P43" s="18">
        <v>3.7026088458634968E-8</v>
      </c>
      <c r="Q43" s="28">
        <v>8.6227168432538619</v>
      </c>
      <c r="R43" s="60">
        <v>111.47402373109702</v>
      </c>
      <c r="S43" s="57">
        <v>1.9370862167149674E-6</v>
      </c>
      <c r="U43" s="127">
        <v>1.6189805727583204E-9</v>
      </c>
      <c r="V43" s="127">
        <v>1.4740013938311777E-9</v>
      </c>
      <c r="W43" s="128">
        <v>1.3426623335293392E-9</v>
      </c>
      <c r="X43" s="128">
        <f t="shared" si="0"/>
        <v>1.4774114234875038E-9</v>
      </c>
      <c r="Y43" s="139">
        <f t="shared" si="1"/>
        <v>0.92987078266480971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1.3726005869471145E-9</v>
      </c>
      <c r="K44" s="109">
        <v>1.4825815952182455E-10</v>
      </c>
      <c r="L44" s="152">
        <v>1.3120099667676284E-9</v>
      </c>
      <c r="N44" s="18">
        <v>1.8755210602578627E-6</v>
      </c>
      <c r="O44" s="18">
        <v>1.1645002871288567E-10</v>
      </c>
      <c r="P44" s="18">
        <v>3.8659642406536727E-8</v>
      </c>
      <c r="Q44" s="28">
        <v>8.6227168432538619</v>
      </c>
      <c r="R44" s="60">
        <v>112.35390527063537</v>
      </c>
      <c r="S44" s="57">
        <v>1.9370862167149674E-6</v>
      </c>
      <c r="U44" s="127">
        <v>1.442528559092095E-9</v>
      </c>
      <c r="V44" s="127">
        <v>1.3120099667676284E-9</v>
      </c>
      <c r="W44" s="128">
        <v>1.2040029889030715E-9</v>
      </c>
      <c r="X44" s="128">
        <f t="shared" si="0"/>
        <v>1.3176378703826058E-9</v>
      </c>
      <c r="Y44" s="139">
        <f t="shared" si="1"/>
        <v>0.13743557719671382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1.2493769985049289E-9</v>
      </c>
      <c r="K45" s="109">
        <v>1.3679147046634714E-10</v>
      </c>
      <c r="L45" s="152">
        <v>1.1824670367713794E-9</v>
      </c>
      <c r="N45" s="18">
        <v>1.8658009080554407E-6</v>
      </c>
      <c r="O45" s="18">
        <v>1.2127336512892823E-10</v>
      </c>
      <c r="P45" s="18">
        <v>4.0184787875574696E-8</v>
      </c>
      <c r="Q45" s="28">
        <v>8.6227168432538619</v>
      </c>
      <c r="R45" s="60">
        <v>112.35390527063537</v>
      </c>
      <c r="S45" s="57">
        <v>2.0226915429477034E-6</v>
      </c>
      <c r="U45" s="127">
        <v>1.2915259073652231E-9</v>
      </c>
      <c r="V45" s="127">
        <v>1.1824670367713794E-9</v>
      </c>
      <c r="W45" s="128">
        <v>1.104228950876124E-9</v>
      </c>
      <c r="X45" s="128">
        <f t="shared" si="0"/>
        <v>1.1901722329460265E-9</v>
      </c>
      <c r="Y45" s="139">
        <f t="shared" si="1"/>
        <v>0.18732480760583883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9.5508714377300314E-10</v>
      </c>
      <c r="K46" s="109">
        <v>1.2171006160949262E-10</v>
      </c>
      <c r="L46" s="152">
        <v>1.086894063385908E-9</v>
      </c>
      <c r="N46" s="18">
        <v>1.8568290886829434E-6</v>
      </c>
      <c r="O46" s="18">
        <v>1.2572536363639397E-10</v>
      </c>
      <c r="P46" s="18">
        <v>4.159251579794013E-8</v>
      </c>
      <c r="Q46" s="28">
        <v>8.6227168432538619</v>
      </c>
      <c r="R46" s="60">
        <v>113.93506407893148</v>
      </c>
      <c r="S46" s="57">
        <v>2.0226915429477034E-6</v>
      </c>
      <c r="U46" s="127">
        <v>1.1684924584959037E-9</v>
      </c>
      <c r="V46" s="127">
        <v>1.086894063385908E-9</v>
      </c>
      <c r="W46" s="128">
        <v>1.0432817476782431E-9</v>
      </c>
      <c r="X46" s="128">
        <f t="shared" si="0"/>
        <v>1.0963905832364906E-9</v>
      </c>
      <c r="Y46" s="139">
        <f t="shared" si="1"/>
        <v>1.347883949289552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9.1421126457130449E-10</v>
      </c>
      <c r="K47" s="109">
        <v>1.2113303732817353E-10</v>
      </c>
      <c r="L47" s="152">
        <v>1.025246856715077E-9</v>
      </c>
      <c r="N47" s="18">
        <v>1.8486422202341636E-6</v>
      </c>
      <c r="O47" s="18">
        <v>1.297878535954001E-10</v>
      </c>
      <c r="P47" s="18">
        <v>4.2877080592836613E-8</v>
      </c>
      <c r="Q47" s="28">
        <v>8.6227168432538619</v>
      </c>
      <c r="R47" s="60">
        <v>113.93506407893148</v>
      </c>
      <c r="S47" s="57">
        <v>2.0818664069255459E-6</v>
      </c>
      <c r="U47" s="127">
        <v>1.0746460135984923E-9</v>
      </c>
      <c r="V47" s="127">
        <v>1.025246856715077E-9</v>
      </c>
      <c r="W47" s="128">
        <v>1.0193558011895302E-9</v>
      </c>
      <c r="X47" s="128">
        <f t="shared" si="0"/>
        <v>1.0361238820545442E-9</v>
      </c>
      <c r="Y47" s="139">
        <f t="shared" si="1"/>
        <v>1.0129128891349293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9.0801354508119442E-10</v>
      </c>
      <c r="K48" s="109">
        <v>1.1737300751861168E-10</v>
      </c>
      <c r="L48" s="152">
        <v>9.9718095287061633E-10</v>
      </c>
      <c r="N48" s="18">
        <v>1.8412566331646644E-6</v>
      </c>
      <c r="O48" s="18">
        <v>1.3345273150310321E-10</v>
      </c>
      <c r="P48" s="18">
        <v>4.4035919921754239E-8</v>
      </c>
      <c r="Q48" s="28">
        <v>8.6227168432538619</v>
      </c>
      <c r="R48" s="60">
        <v>116.05844651855023</v>
      </c>
      <c r="S48" s="57">
        <v>2.0818664069255459E-6</v>
      </c>
      <c r="U48" s="127">
        <v>1.0112492691598395E-9</v>
      </c>
      <c r="V48" s="127">
        <v>9.9718095287061633E-10</v>
      </c>
      <c r="W48" s="128">
        <v>1.0300724573680746E-9</v>
      </c>
      <c r="X48" s="128">
        <f t="shared" si="0"/>
        <v>1.0089209080672867E-9</v>
      </c>
      <c r="Y48" s="139">
        <f t="shared" si="1"/>
        <v>0.73911028887391372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1.31919599154E-2</v>
      </c>
      <c r="J49" s="109">
        <v>1.1145474426595639E-9</v>
      </c>
      <c r="K49" s="109">
        <v>1.262329204126242E-10</v>
      </c>
      <c r="L49" s="152">
        <v>1.0002237245747215E-9</v>
      </c>
      <c r="N49" s="18">
        <v>1.8346697166028916E-6</v>
      </c>
      <c r="O49" s="18">
        <v>1.3672129292685512E-10</v>
      </c>
      <c r="P49" s="18">
        <v>4.506944344483406E-8</v>
      </c>
      <c r="Q49" s="28">
        <v>8.6227168432538619</v>
      </c>
      <c r="R49" s="60">
        <v>116.05844651855023</v>
      </c>
      <c r="S49" s="57">
        <v>2.0900427920615892E-6</v>
      </c>
      <c r="U49" s="127">
        <v>9.7744951310407555E-10</v>
      </c>
      <c r="V49" s="127">
        <v>1.0002237245747215E-9</v>
      </c>
      <c r="W49" s="128">
        <v>1.0710832646654174E-9</v>
      </c>
      <c r="X49" s="128">
        <f t="shared" si="0"/>
        <v>1.012245056729734E-9</v>
      </c>
      <c r="Y49" s="139">
        <f t="shared" si="1"/>
        <v>0.65678959746910603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1.33238795146E-2</v>
      </c>
      <c r="J50" s="109">
        <v>8.6806558819966382E-10</v>
      </c>
      <c r="K50" s="109">
        <v>1.1568086525462094E-10</v>
      </c>
      <c r="L50" s="152">
        <v>1.0312882794175845E-9</v>
      </c>
      <c r="N50" s="18">
        <v>1.8288619496523514E-6</v>
      </c>
      <c r="O50" s="18">
        <v>1.3960322453091462E-10</v>
      </c>
      <c r="P50" s="18">
        <v>4.5980714098357117E-8</v>
      </c>
      <c r="Q50" s="28">
        <v>8.6227168432538619</v>
      </c>
      <c r="R50" s="60">
        <v>791.63498436834868</v>
      </c>
      <c r="S50" s="57">
        <v>2.0900427920615892E-6</v>
      </c>
      <c r="U50" s="127">
        <v>9.7185000104044402E-10</v>
      </c>
      <c r="V50" s="127">
        <v>1.0312882794175845E-9</v>
      </c>
      <c r="W50" s="128">
        <v>1.1374834250375926E-9</v>
      </c>
      <c r="X50" s="128">
        <f t="shared" si="0"/>
        <v>1.0429774962283013E-9</v>
      </c>
      <c r="Y50" s="139">
        <f t="shared" si="1"/>
        <v>2.2862077780217076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1.0083319285256602E-9</v>
      </c>
      <c r="K51" s="109">
        <v>1.2487148896171581E-10</v>
      </c>
      <c r="L51" s="152">
        <v>1.0864886028612982E-9</v>
      </c>
      <c r="N51" s="18">
        <v>1.8237994385202825E-6</v>
      </c>
      <c r="O51" s="18">
        <v>1.4211534510180917E-10</v>
      </c>
      <c r="P51" s="18">
        <v>4.677505000526872E-8</v>
      </c>
      <c r="Q51" s="28">
        <v>8.6227168432538619</v>
      </c>
      <c r="R51" s="60">
        <v>791.63498436834868</v>
      </c>
      <c r="S51" s="57">
        <v>2.0889081277298188E-6</v>
      </c>
      <c r="U51" s="127">
        <v>9.9220681480582639E-10</v>
      </c>
      <c r="V51" s="127">
        <v>1.0864886028612982E-9</v>
      </c>
      <c r="W51" s="128">
        <v>1.2237545595608083E-9</v>
      </c>
      <c r="X51" s="128">
        <f t="shared" si="0"/>
        <v>1.0972346450223079E-9</v>
      </c>
      <c r="Y51" s="139">
        <f t="shared" si="1"/>
        <v>0.50687804706407635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1.1968675792292399E-9</v>
      </c>
      <c r="K52" s="109">
        <v>1.269892055716513E-10</v>
      </c>
      <c r="L52" s="152">
        <v>1.1613274795809337E-9</v>
      </c>
      <c r="N52" s="18">
        <v>1.819436767269665E-6</v>
      </c>
      <c r="O52" s="18">
        <v>1.4428019094744126E-10</v>
      </c>
      <c r="P52" s="18">
        <v>4.7459577176471185E-8</v>
      </c>
      <c r="Q52" s="28">
        <v>8.6227168432538619</v>
      </c>
      <c r="R52" s="60">
        <v>856.93274083999245</v>
      </c>
      <c r="S52" s="57">
        <v>2.0889081277298188E-6</v>
      </c>
      <c r="U52" s="127">
        <v>1.0355461083987875E-9</v>
      </c>
      <c r="V52" s="127">
        <v>1.1613274795809337E-9</v>
      </c>
      <c r="W52" s="128">
        <v>1.3240100578444239E-9</v>
      </c>
      <c r="X52" s="128">
        <f t="shared" si="0"/>
        <v>1.1705527813512697E-9</v>
      </c>
      <c r="Y52" s="139">
        <f t="shared" si="1"/>
        <v>4.2940437460089263E-2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1.1586994199108672E-9</v>
      </c>
      <c r="K53" s="109">
        <v>1.251355742709628E-10</v>
      </c>
      <c r="L53" s="152">
        <v>1.2508855044441174E-9</v>
      </c>
      <c r="N53" s="18">
        <v>1.8157199726191644E-6</v>
      </c>
      <c r="O53" s="18">
        <v>1.4612453974109949E-10</v>
      </c>
      <c r="P53" s="18">
        <v>4.8042762748312633E-8</v>
      </c>
      <c r="Q53" s="28">
        <v>8.6227168432538619</v>
      </c>
      <c r="R53" s="60">
        <v>856.93274083999245</v>
      </c>
      <c r="S53" s="57">
        <v>2.0806962337967603E-6</v>
      </c>
      <c r="U53" s="127">
        <v>1.0982974741086172E-9</v>
      </c>
      <c r="V53" s="127">
        <v>1.2508855044441174E-9</v>
      </c>
      <c r="W53" s="128">
        <v>1.4322210652830367E-9</v>
      </c>
      <c r="X53" s="128">
        <f t="shared" si="0"/>
        <v>1.2580723870699721E-9</v>
      </c>
      <c r="Y53" s="139">
        <f t="shared" si="1"/>
        <v>0.63063044448550098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1.321282844349143E-9</v>
      </c>
      <c r="K54" s="109">
        <v>1.3480026957588791E-10</v>
      </c>
      <c r="L54" s="152">
        <v>1.3500030330889744E-9</v>
      </c>
      <c r="N54" s="18">
        <v>1.8125894695004999E-6</v>
      </c>
      <c r="O54" s="18">
        <v>1.4767795880063101E-10</v>
      </c>
      <c r="P54" s="18">
        <v>4.8533955946506669E-8</v>
      </c>
      <c r="Q54" s="28">
        <v>8.6227168432538619</v>
      </c>
      <c r="R54" s="60">
        <v>905.55616395997049</v>
      </c>
      <c r="S54" s="57">
        <v>2.0806962337967603E-6</v>
      </c>
      <c r="U54" s="127">
        <v>1.1764351449197142E-9</v>
      </c>
      <c r="V54" s="127">
        <v>1.3500030330889744E-9</v>
      </c>
      <c r="W54" s="128">
        <v>1.5424187132737904E-9</v>
      </c>
      <c r="X54" s="128">
        <f t="shared" si="0"/>
        <v>1.3547149810928634E-9</v>
      </c>
      <c r="Y54" s="139">
        <f t="shared" si="1"/>
        <v>6.1510144539498775E-2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1.392274046520722E-9</v>
      </c>
      <c r="K55" s="109">
        <v>1.3243448430267064E-10</v>
      </c>
      <c r="L55" s="152">
        <v>1.4534502193975889E-9</v>
      </c>
      <c r="N55" s="18">
        <v>1.8099827809497376E-6</v>
      </c>
      <c r="O55" s="18">
        <v>1.4897145046108464E-10</v>
      </c>
      <c r="P55" s="18">
        <v>4.894295975113821E-8</v>
      </c>
      <c r="Q55" s="28">
        <v>8.6227168432538619</v>
      </c>
      <c r="R55" s="60">
        <v>905.55616395997049</v>
      </c>
      <c r="S55" s="57">
        <v>2.0688164961535723E-6</v>
      </c>
      <c r="U55" s="127">
        <v>1.2656204773752948E-9</v>
      </c>
      <c r="V55" s="127">
        <v>1.4534502193975889E-9</v>
      </c>
      <c r="W55" s="128">
        <v>1.6488722207667328E-9</v>
      </c>
      <c r="X55" s="128">
        <f t="shared" si="0"/>
        <v>1.4553482842343013E-9</v>
      </c>
      <c r="Y55" s="139">
        <f t="shared" si="1"/>
        <v>0.22683070969793484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1.5127470027137422E-9</v>
      </c>
      <c r="K56" s="109">
        <v>1.4065738533783412E-10</v>
      </c>
      <c r="L56" s="152">
        <v>1.5560831010897788E-9</v>
      </c>
      <c r="N56" s="18">
        <v>1.8078369596774733E-6</v>
      </c>
      <c r="O56" s="18">
        <v>1.5003625044253488E-10</v>
      </c>
      <c r="P56" s="18">
        <v>4.9279650938951516E-8</v>
      </c>
      <c r="Q56" s="28">
        <v>8.6227168432538619</v>
      </c>
      <c r="R56" s="60">
        <v>932.61407374610656</v>
      </c>
      <c r="S56" s="57">
        <v>2.0688164961535723E-6</v>
      </c>
      <c r="U56" s="127">
        <v>1.3613411035809012E-9</v>
      </c>
      <c r="V56" s="127">
        <v>1.5560831010897788E-9</v>
      </c>
      <c r="W56" s="128">
        <v>1.746245091056986E-9</v>
      </c>
      <c r="X56" s="128">
        <f t="shared" si="0"/>
        <v>1.5549380992043613E-9</v>
      </c>
      <c r="Y56" s="139">
        <f t="shared" si="1"/>
        <v>8.9973899698005802E-2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1.42850022548E-2</v>
      </c>
      <c r="J57" s="109">
        <v>1.5253359476213311E-9</v>
      </c>
      <c r="K57" s="109">
        <v>1.3514460380025696E-10</v>
      </c>
      <c r="L57" s="152">
        <v>1.6529857700696654E-9</v>
      </c>
      <c r="N57" s="18">
        <v>1.8060906250481978E-6</v>
      </c>
      <c r="O57" s="18">
        <v>1.5090281682719854E-10</v>
      </c>
      <c r="P57" s="18">
        <v>4.955366039655323E-8</v>
      </c>
      <c r="Q57" s="28">
        <v>8.6227168432538619</v>
      </c>
      <c r="R57" s="60">
        <v>932.61407374610656</v>
      </c>
      <c r="S57" s="57">
        <v>2.0553739515057688E-6</v>
      </c>
      <c r="U57" s="127">
        <v>1.4590439969866108E-9</v>
      </c>
      <c r="V57" s="127">
        <v>1.6529857700696654E-9</v>
      </c>
      <c r="W57" s="128">
        <v>1.8297328274814448E-9</v>
      </c>
      <c r="X57" s="128">
        <f t="shared" si="0"/>
        <v>1.6486870911518466E-9</v>
      </c>
      <c r="Y57" s="139">
        <f t="shared" si="1"/>
        <v>0.83308428306699056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1.44278522774E-2</v>
      </c>
      <c r="J58" s="109">
        <v>1.6721419479766941E-9</v>
      </c>
      <c r="K58" s="109">
        <v>1.4262615839140147E-10</v>
      </c>
      <c r="L58" s="152">
        <v>1.7395998835630068E-9</v>
      </c>
      <c r="N58" s="18">
        <v>1.8046652114343051E-6</v>
      </c>
      <c r="O58" s="18">
        <v>1.5160002919437825E-10</v>
      </c>
      <c r="P58" s="18">
        <v>4.9774119885803162E-8</v>
      </c>
      <c r="Q58" s="28">
        <v>8.6227168432538619</v>
      </c>
      <c r="R58" s="60">
        <v>952.43856138004503</v>
      </c>
      <c r="S58" s="57">
        <v>2.0553739515057688E-6</v>
      </c>
      <c r="U58" s="127">
        <v>1.5542612220035167E-9</v>
      </c>
      <c r="V58" s="127">
        <v>1.7395998835630068E-9</v>
      </c>
      <c r="W58" s="128">
        <v>1.8951855620960066E-9</v>
      </c>
      <c r="X58" s="128">
        <f t="shared" si="0"/>
        <v>1.7321616378063842E-9</v>
      </c>
      <c r="Y58" s="139">
        <f t="shared" si="1"/>
        <v>0.17708799629458238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1.4572130800099999E-2</v>
      </c>
      <c r="J59" s="109">
        <v>1.9189518056913831E-9</v>
      </c>
      <c r="K59" s="109">
        <v>1.5311913155923001E-10</v>
      </c>
      <c r="L59" s="152">
        <v>1.8118431852135276E-9</v>
      </c>
      <c r="N59" s="18">
        <v>1.7859575038339328E-6</v>
      </c>
      <c r="O59" s="18">
        <v>1.5215460107028246E-10</v>
      </c>
      <c r="P59" s="18">
        <v>4.9949476259656341E-8</v>
      </c>
      <c r="Q59" s="28">
        <v>8.6227168432538619</v>
      </c>
      <c r="R59" s="60">
        <v>952.43856138004503</v>
      </c>
      <c r="S59" s="57">
        <v>2.0411873595229306E-6</v>
      </c>
      <c r="U59" s="127">
        <v>1.6427282188463474E-9</v>
      </c>
      <c r="V59" s="127">
        <v>1.8118431852135276E-9</v>
      </c>
      <c r="W59" s="128">
        <v>1.9392180245139152E-9</v>
      </c>
      <c r="X59" s="128">
        <f t="shared" si="0"/>
        <v>1.8014081534468295E-9</v>
      </c>
      <c r="Y59" s="139">
        <f t="shared" si="1"/>
        <v>0.58930407864429102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1.4717852108099999E-2</v>
      </c>
      <c r="J60" s="109">
        <v>1.4796577359034078E-9</v>
      </c>
      <c r="K60" s="109">
        <v>1.3091417195787559E-10</v>
      </c>
      <c r="L60" s="152">
        <v>1.8662183984115817E-9</v>
      </c>
      <c r="N60" s="18">
        <v>1.5483253500019976E-6</v>
      </c>
      <c r="O60" s="18">
        <v>1.5249156013204106E-10</v>
      </c>
      <c r="P60" s="18">
        <v>5.0056023168676228E-8</v>
      </c>
      <c r="Q60" s="28">
        <v>4.3113584216269309</v>
      </c>
      <c r="R60" s="60">
        <v>968.57145802177661</v>
      </c>
      <c r="S60" s="57">
        <v>2.0411873595229306E-6</v>
      </c>
      <c r="U60" s="127">
        <v>1.720495044924546E-9</v>
      </c>
      <c r="V60" s="127">
        <v>1.8662183984115817E-9</v>
      </c>
      <c r="W60" s="128">
        <v>1.9593076442726085E-9</v>
      </c>
      <c r="X60" s="128">
        <f t="shared" si="0"/>
        <v>1.8530598715050794E-9</v>
      </c>
      <c r="Y60" s="139">
        <f t="shared" si="1"/>
        <v>8.1354254311200602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1.4865030629200001E-2</v>
      </c>
      <c r="J61" s="109">
        <v>1.9664874346821655E-9</v>
      </c>
      <c r="K61" s="109">
        <v>1.4808128234564171E-10</v>
      </c>
      <c r="L61" s="152">
        <v>1.8999129872985106E-9</v>
      </c>
      <c r="N61" s="18">
        <v>1.374991114711807E-6</v>
      </c>
      <c r="O61" s="18">
        <v>1.5392462373247677E-10</v>
      </c>
      <c r="P61" s="18">
        <v>5.050914391620612E-8</v>
      </c>
      <c r="Q61" s="28">
        <v>0.22727272727272727</v>
      </c>
      <c r="R61" s="60">
        <v>968.57145802177661</v>
      </c>
      <c r="S61" s="57">
        <v>2.0266315418826725E-6</v>
      </c>
      <c r="U61" s="127">
        <v>1.7840310724667139E-9</v>
      </c>
      <c r="V61" s="127">
        <v>1.8999129872985106E-9</v>
      </c>
      <c r="W61" s="128">
        <v>1.9538795800962727E-9</v>
      </c>
      <c r="X61" s="128">
        <f t="shared" si="0"/>
        <v>1.8844341567900022E-9</v>
      </c>
      <c r="Y61" s="139">
        <f t="shared" si="1"/>
        <v>0.30703758175641072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1.50136809355E-2</v>
      </c>
      <c r="J62" s="109">
        <v>1.7755911354875616E-9</v>
      </c>
      <c r="K62" s="109">
        <v>1.4405649623757825E-10</v>
      </c>
      <c r="L62" s="152">
        <v>1.9108890249073974E-9</v>
      </c>
      <c r="N62" s="18">
        <v>1.3484095092912262E-6</v>
      </c>
      <c r="O62" s="18">
        <v>1.5392438425026633E-10</v>
      </c>
      <c r="P62" s="18">
        <v>5.0509049871967987E-8</v>
      </c>
      <c r="Q62" s="28">
        <v>0.45454545454545453</v>
      </c>
      <c r="R62" s="60">
        <v>982.50230383912765</v>
      </c>
      <c r="S62" s="57">
        <v>2.0266315418826725E-6</v>
      </c>
      <c r="U62" s="127">
        <v>1.8303232859338367E-9</v>
      </c>
      <c r="V62" s="127">
        <v>1.9108890249073974E-9</v>
      </c>
      <c r="W62" s="128">
        <v>1.9223753816227437E-9</v>
      </c>
      <c r="X62" s="128">
        <f t="shared" si="0"/>
        <v>1.8936191793428439E-9</v>
      </c>
      <c r="Y62" s="139">
        <f t="shared" si="1"/>
        <v>0.67128156960726093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1.6527976786976884E-9</v>
      </c>
      <c r="K63" s="109">
        <v>1.3980108911864202E-10</v>
      </c>
      <c r="L63" s="152">
        <v>1.8979609405677958E-9</v>
      </c>
      <c r="N63" s="18">
        <v>1.3133573486662199E-6</v>
      </c>
      <c r="O63" s="18">
        <v>1.5392363528405696E-10</v>
      </c>
      <c r="P63" s="18">
        <v>5.0508755754269556E-8</v>
      </c>
      <c r="Q63" s="28">
        <v>0.45454545454545453</v>
      </c>
      <c r="R63" s="60">
        <v>982.50230383912765</v>
      </c>
      <c r="S63" s="57">
        <v>2.0118933515186822E-6</v>
      </c>
      <c r="U63" s="127">
        <v>1.8569676099155663E-9</v>
      </c>
      <c r="V63" s="127">
        <v>1.8979609405677958E-9</v>
      </c>
      <c r="W63" s="128">
        <v>1.8653000886738028E-9</v>
      </c>
      <c r="X63" s="128">
        <f t="shared" si="0"/>
        <v>1.8795473949312401E-9</v>
      </c>
      <c r="Y63" s="139">
        <f t="shared" si="1"/>
        <v>2.6307064820029198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1.5315455922300001E-2</v>
      </c>
      <c r="J64" s="109">
        <v>1.7278894634512324E-9</v>
      </c>
      <c r="K64" s="109">
        <v>1.3754312968485291E-10</v>
      </c>
      <c r="L64" s="152">
        <v>1.8608574403052254E-9</v>
      </c>
      <c r="N64" s="18">
        <v>1.2791180248689619E-6</v>
      </c>
      <c r="O64" s="18">
        <v>1.5392176934880552E-10</v>
      </c>
      <c r="P64" s="18">
        <v>5.0508023004814749E-8</v>
      </c>
      <c r="Q64" s="28">
        <v>0.45454545454545453</v>
      </c>
      <c r="R64" s="60">
        <v>995.01698169933968</v>
      </c>
      <c r="S64" s="57">
        <v>2.0118933515186822E-6</v>
      </c>
      <c r="U64" s="127">
        <v>1.8622517425046751E-9</v>
      </c>
      <c r="V64" s="127">
        <v>1.8608574403052254E-9</v>
      </c>
      <c r="W64" s="128">
        <v>1.7842411416459403E-9</v>
      </c>
      <c r="X64" s="128">
        <f t="shared" si="0"/>
        <v>1.8420519411902666E-9</v>
      </c>
      <c r="Y64" s="139">
        <f t="shared" si="1"/>
        <v>0.68892027718531157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1.5199278496580918E-9</v>
      </c>
      <c r="K65" s="109">
        <v>1.29232623513414E-10</v>
      </c>
      <c r="L65" s="152">
        <v>1.8002626038896952E-9</v>
      </c>
      <c r="N65" s="18">
        <v>1.246080047726297E-6</v>
      </c>
      <c r="O65" s="18">
        <v>1.5391732796236246E-10</v>
      </c>
      <c r="P65" s="18">
        <v>5.0506278880257284E-8</v>
      </c>
      <c r="Q65" s="28">
        <v>0.45454545454545453</v>
      </c>
      <c r="R65" s="60">
        <v>995.01698169933968</v>
      </c>
      <c r="S65" s="57">
        <v>1.9970693015583152E-6</v>
      </c>
      <c r="U65" s="127">
        <v>1.8452268901354333E-9</v>
      </c>
      <c r="V65" s="127">
        <v>1.8002626038896952E-9</v>
      </c>
      <c r="W65" s="128">
        <v>1.6818517785074159E-9</v>
      </c>
      <c r="X65" s="128">
        <f t="shared" si="0"/>
        <v>1.7819009691055599E-9</v>
      </c>
      <c r="Y65" s="139">
        <f t="shared" si="1"/>
        <v>4.1093122348002078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1.56232965864E-2</v>
      </c>
      <c r="J66" s="109">
        <v>1.8968061191928937E-9</v>
      </c>
      <c r="K66" s="109">
        <v>1.4317297877178072E-10</v>
      </c>
      <c r="L66" s="152">
        <v>1.7178302713101029E-9</v>
      </c>
      <c r="N66" s="18">
        <v>1.2146220337020639E-6</v>
      </c>
      <c r="O66" s="18">
        <v>1.5390722782781785E-10</v>
      </c>
      <c r="P66" s="18">
        <v>5.0502312575384026E-8</v>
      </c>
      <c r="Q66" s="28">
        <v>0.45454545454545453</v>
      </c>
      <c r="R66" s="60">
        <v>1006.5930634134086</v>
      </c>
      <c r="S66" s="57">
        <v>1.9970693015583152E-6</v>
      </c>
      <c r="U66" s="127">
        <v>1.8057647367513127E-9</v>
      </c>
      <c r="V66" s="127">
        <v>1.7178302713101029E-9</v>
      </c>
      <c r="W66" s="128">
        <v>1.5617918687677247E-9</v>
      </c>
      <c r="X66" s="128">
        <f t="shared" si="0"/>
        <v>1.7008042870348109E-9</v>
      </c>
      <c r="Y66" s="139">
        <f t="shared" si="1"/>
        <v>1.8741232159170771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1.4845419159271289E-9</v>
      </c>
      <c r="K67" s="109">
        <v>9.7092926633260364E-11</v>
      </c>
      <c r="L67" s="152">
        <v>1.61616554023292E-9</v>
      </c>
      <c r="N67" s="18">
        <v>1.1851289221833947E-6</v>
      </c>
      <c r="O67" s="18">
        <v>1.5388528355918637E-10</v>
      </c>
      <c r="P67" s="18">
        <v>5.0493695100118872E-8</v>
      </c>
      <c r="Q67" s="28">
        <v>0.45454545454545453</v>
      </c>
      <c r="R67" s="60">
        <v>1006.5930634134086</v>
      </c>
      <c r="S67" s="57">
        <v>1.9822088509360599E-6</v>
      </c>
      <c r="U67" s="127">
        <v>1.7445950852290195E-9</v>
      </c>
      <c r="V67" s="127">
        <v>1.61616554023292E-9</v>
      </c>
      <c r="W67" s="128">
        <v>1.4286205446680843E-9</v>
      </c>
      <c r="X67" s="128">
        <f t="shared" ref="X67:X130" si="2">(U67+2*V67+W67)/4</f>
        <v>1.6013866775907361E-9</v>
      </c>
      <c r="Y67" s="139">
        <f t="shared" ref="Y67:Y130" si="3">(J67-X67)*(J67-X67)/(K67*K67)</f>
        <v>1.4482492424684059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1.59373248477E-2</v>
      </c>
      <c r="J68" s="109">
        <v>1.4586790362429835E-9</v>
      </c>
      <c r="K68" s="109">
        <v>9.5551471286399602E-11</v>
      </c>
      <c r="L68" s="152">
        <v>1.4987676778546235E-9</v>
      </c>
      <c r="N68" s="18">
        <v>1.1580280708918983E-6</v>
      </c>
      <c r="O68" s="18">
        <v>1.5383973244666914E-10</v>
      </c>
      <c r="P68" s="18">
        <v>5.0475807259242999E-8</v>
      </c>
      <c r="Q68" s="28">
        <v>0.45454545454545453</v>
      </c>
      <c r="R68" s="60">
        <v>1017.5537447761646</v>
      </c>
      <c r="S68" s="57">
        <v>1.9822088509360599E-6</v>
      </c>
      <c r="U68" s="127">
        <v>1.6633190382095776E-9</v>
      </c>
      <c r="V68" s="127">
        <v>1.4987676778546235E-9</v>
      </c>
      <c r="W68" s="128">
        <v>1.2876375879783265E-9</v>
      </c>
      <c r="X68" s="128">
        <f t="shared" si="2"/>
        <v>1.4871229954742879E-9</v>
      </c>
      <c r="Y68" s="139">
        <f t="shared" si="3"/>
        <v>8.8614611479849087E-2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1.2162190795950126E-9</v>
      </c>
      <c r="K69" s="109">
        <v>8.7924763130400934E-11</v>
      </c>
      <c r="L69" s="152">
        <v>1.3699301250679581E-9</v>
      </c>
      <c r="N69" s="18">
        <v>1.1338517919320441E-6</v>
      </c>
      <c r="O69" s="18">
        <v>1.5374939678812531E-10</v>
      </c>
      <c r="P69" s="18">
        <v>5.0440332606788841E-8</v>
      </c>
      <c r="Q69" s="28">
        <v>0.45454545454545453</v>
      </c>
      <c r="R69" s="60">
        <v>1017.5537447761646</v>
      </c>
      <c r="S69" s="57">
        <v>1.967335791252839E-6</v>
      </c>
      <c r="U69" s="127">
        <v>1.5643924961774532E-9</v>
      </c>
      <c r="V69" s="127">
        <v>1.3699301250679581E-9</v>
      </c>
      <c r="W69" s="128">
        <v>1.144674214504464E-9</v>
      </c>
      <c r="X69" s="128">
        <f t="shared" si="2"/>
        <v>1.3622317402044584E-9</v>
      </c>
      <c r="Y69" s="139">
        <f t="shared" si="3"/>
        <v>2.7577736348882751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1.139741142703706E-9</v>
      </c>
      <c r="K70" s="109">
        <v>8.3518167813884209E-11</v>
      </c>
      <c r="L70" s="152">
        <v>1.2345955501190576E-9</v>
      </c>
      <c r="N70" s="18">
        <v>1.1133306450493241E-6</v>
      </c>
      <c r="O70" s="18">
        <v>1.5357823763804676E-10</v>
      </c>
      <c r="P70" s="18">
        <v>5.0373118712948229E-8</v>
      </c>
      <c r="Q70" s="28">
        <v>0.45454545454545453</v>
      </c>
      <c r="R70" s="60">
        <v>1028.1396682766192</v>
      </c>
      <c r="S70" s="57">
        <v>1.967335791252839E-6</v>
      </c>
      <c r="U70" s="127">
        <v>1.4510752661902761E-9</v>
      </c>
      <c r="V70" s="127">
        <v>1.2345955501190576E-9</v>
      </c>
      <c r="W70" s="128">
        <v>1.0058383637969793E-9</v>
      </c>
      <c r="X70" s="128">
        <f t="shared" si="2"/>
        <v>1.2315261825563427E-9</v>
      </c>
      <c r="Y70" s="139">
        <f t="shared" si="3"/>
        <v>1.2077634562275066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1.6420241727999999E-2</v>
      </c>
      <c r="J71" s="109">
        <v>9.2441166380669011E-10</v>
      </c>
      <c r="K71" s="109">
        <v>7.577222884172747E-11</v>
      </c>
      <c r="L71" s="152">
        <v>1.0981670051944602E-9</v>
      </c>
      <c r="N71" s="18">
        <v>1.0975154363897611E-6</v>
      </c>
      <c r="O71" s="18">
        <v>1.5326841009825541E-10</v>
      </c>
      <c r="P71" s="18">
        <v>5.0251449989079967E-8</v>
      </c>
      <c r="Q71" s="28">
        <v>0.45454545454545453</v>
      </c>
      <c r="R71" s="60">
        <v>1028.1396682766192</v>
      </c>
      <c r="S71" s="57">
        <v>1.9524598219804781E-6</v>
      </c>
      <c r="U71" s="127">
        <v>1.3273422851138424E-9</v>
      </c>
      <c r="V71" s="127">
        <v>1.0981670051944602E-9</v>
      </c>
      <c r="W71" s="128">
        <v>8.7722439728498773E-10</v>
      </c>
      <c r="X71" s="128">
        <f t="shared" si="2"/>
        <v>1.1002251731969377E-9</v>
      </c>
      <c r="Y71" s="139">
        <f t="shared" si="3"/>
        <v>5.3837435118481549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1.6584444145200002E-2</v>
      </c>
      <c r="J72" s="109">
        <v>9.6616384570259436E-10</v>
      </c>
      <c r="K72" s="109">
        <v>7.902083291036716E-11</v>
      </c>
      <c r="L72" s="152">
        <v>9.66279911647942E-10</v>
      </c>
      <c r="N72" s="18">
        <v>1.087914221974695E-6</v>
      </c>
      <c r="O72" s="18">
        <v>1.5273259210709308E-10</v>
      </c>
      <c r="P72" s="18">
        <v>5.0041035216867413E-8</v>
      </c>
      <c r="Q72" s="28">
        <v>0.45454545454545453</v>
      </c>
      <c r="R72" s="60">
        <v>1038.5477661914572</v>
      </c>
      <c r="S72" s="57">
        <v>1.9524598219804781E-6</v>
      </c>
      <c r="U72" s="127">
        <v>1.1977553772042686E-9</v>
      </c>
      <c r="V72" s="127">
        <v>9.66279911647942E-10</v>
      </c>
      <c r="W72" s="128">
        <v>7.6460163012587967E-10</v>
      </c>
      <c r="X72" s="128">
        <f t="shared" si="2"/>
        <v>9.737292076565081E-10</v>
      </c>
      <c r="Y72" s="139">
        <f t="shared" si="3"/>
        <v>9.165923243736173E-3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1.67502885867E-2</v>
      </c>
      <c r="J73" s="109">
        <v>6.9255690823559059E-10</v>
      </c>
      <c r="K73" s="109">
        <v>1.0522591725079172E-10</v>
      </c>
      <c r="L73" s="152">
        <v>8.4454348789583688E-10</v>
      </c>
      <c r="N73" s="18">
        <v>1.0866142892089045E-6</v>
      </c>
      <c r="O73" s="18">
        <v>1.5184729200633146E-10</v>
      </c>
      <c r="P73" s="18">
        <v>4.9693379441746038E-8</v>
      </c>
      <c r="Q73" s="28">
        <v>0.45454545454545453</v>
      </c>
      <c r="R73" s="60">
        <v>1038.5477661914572</v>
      </c>
      <c r="S73" s="57">
        <v>1.9419259096751541E-6</v>
      </c>
      <c r="U73" s="127">
        <v>1.0672965104874726E-9</v>
      </c>
      <c r="V73" s="127">
        <v>8.4454348789583688E-10</v>
      </c>
      <c r="W73" s="128">
        <v>6.7309973846711931E-10</v>
      </c>
      <c r="X73" s="128">
        <f t="shared" si="2"/>
        <v>8.5737080618656647E-10</v>
      </c>
      <c r="Y73" s="139">
        <f t="shared" si="3"/>
        <v>2.4532523376200257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7.5036602383290351E-10</v>
      </c>
      <c r="K74" s="109">
        <v>1.0228730594083048E-10</v>
      </c>
      <c r="L74" s="152">
        <v>7.3826388963097266E-10</v>
      </c>
      <c r="N74" s="18">
        <v>1.0963417458657432E-6</v>
      </c>
      <c r="O74" s="18">
        <v>1.5044983463714939E-10</v>
      </c>
      <c r="P74" s="18">
        <v>4.9144600418153815E-8</v>
      </c>
      <c r="Q74" s="28">
        <v>0.45454545454545453</v>
      </c>
      <c r="R74" s="60">
        <v>1042.8591246130841</v>
      </c>
      <c r="S74" s="57">
        <v>1.9419259096751541E-6</v>
      </c>
      <c r="U74" s="127">
        <v>9.4116651486332293E-10</v>
      </c>
      <c r="V74" s="127">
        <v>7.3826388963097266E-10</v>
      </c>
      <c r="W74" s="128">
        <v>6.0691123360201518E-10</v>
      </c>
      <c r="X74" s="128">
        <f t="shared" si="2"/>
        <v>7.5615138193182083E-10</v>
      </c>
      <c r="Y74" s="139">
        <f t="shared" si="3"/>
        <v>3.1990204119952612E-3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7.6158291528911537E-10</v>
      </c>
      <c r="K75" s="109">
        <v>1.1371807400082753E-10</v>
      </c>
      <c r="L75" s="152">
        <v>6.5216427053058254E-10</v>
      </c>
      <c r="N75" s="18">
        <v>1.1204001666069333E-6</v>
      </c>
      <c r="O75" s="18">
        <v>1.4834236768904425E-10</v>
      </c>
      <c r="P75" s="18">
        <v>4.8317001895623606E-8</v>
      </c>
      <c r="Q75" s="28">
        <v>0.45454545454545453</v>
      </c>
      <c r="R75" s="60">
        <v>1042.8591246130841</v>
      </c>
      <c r="S75" s="57">
        <v>1.9326607820178711E-6</v>
      </c>
      <c r="U75" s="127">
        <v>8.2455639899866259E-10</v>
      </c>
      <c r="V75" s="127">
        <v>6.5216427053058254E-10</v>
      </c>
      <c r="W75" s="128">
        <v>5.6903149366251222E-10</v>
      </c>
      <c r="X75" s="128">
        <f t="shared" si="2"/>
        <v>6.7447910843058495E-10</v>
      </c>
      <c r="Y75" s="139">
        <f t="shared" si="3"/>
        <v>0.58669890976416528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7.8437792245437224E-10</v>
      </c>
      <c r="K76" s="109">
        <v>1.0749125400492633E-10</v>
      </c>
      <c r="L76" s="152">
        <v>5.9011878139794275E-10</v>
      </c>
      <c r="N76" s="18">
        <v>1.1624340626814443E-6</v>
      </c>
      <c r="O76" s="18">
        <v>1.4530598180669824E-10</v>
      </c>
      <c r="P76" s="18">
        <v>4.7124618559637941E-8</v>
      </c>
      <c r="Q76" s="28">
        <v>0.45454545454545453</v>
      </c>
      <c r="R76" s="60">
        <v>1051.4818414563379</v>
      </c>
      <c r="S76" s="57">
        <v>1.9326607820178711E-6</v>
      </c>
      <c r="U76" s="127">
        <v>7.2240142666422323E-10</v>
      </c>
      <c r="V76" s="127">
        <v>5.9011878139794275E-10</v>
      </c>
      <c r="W76" s="128">
        <v>5.6105519094614542E-10</v>
      </c>
      <c r="X76" s="128">
        <f t="shared" si="2"/>
        <v>6.1592354510156356E-10</v>
      </c>
      <c r="Y76" s="139">
        <f t="shared" si="3"/>
        <v>2.4559433371683657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7.5154998028709999E-10</v>
      </c>
      <c r="K77" s="109">
        <v>1.0540010274726715E-10</v>
      </c>
      <c r="L77" s="152">
        <v>5.5491790171493963E-10</v>
      </c>
      <c r="N77" s="18">
        <v>1.2259905270460306E-6</v>
      </c>
      <c r="O77" s="18">
        <v>1.4112645118160966E-10</v>
      </c>
      <c r="P77" s="18">
        <v>4.5483324316184636E-8</v>
      </c>
      <c r="Q77" s="28">
        <v>0.45454545454545453</v>
      </c>
      <c r="R77" s="60">
        <v>1051.4818414563379</v>
      </c>
      <c r="S77" s="57">
        <v>1.9204405875512467E-6</v>
      </c>
      <c r="U77" s="127">
        <v>6.3913061146357095E-10</v>
      </c>
      <c r="V77" s="127">
        <v>5.5491790171493963E-10</v>
      </c>
      <c r="W77" s="128">
        <v>5.8304452112356807E-10</v>
      </c>
      <c r="X77" s="128">
        <f t="shared" si="2"/>
        <v>5.830027340042546E-10</v>
      </c>
      <c r="Y77" s="139">
        <f t="shared" si="3"/>
        <v>2.5571797366524884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7.5234316797691657E-10</v>
      </c>
      <c r="K78" s="109">
        <v>1.045727882979826E-10</v>
      </c>
      <c r="L78" s="152">
        <v>5.4808134561746988E-10</v>
      </c>
      <c r="N78" s="18">
        <v>1.3139042935515089E-6</v>
      </c>
      <c r="O78" s="18">
        <v>1.3563011623289256E-10</v>
      </c>
      <c r="P78" s="18">
        <v>4.3324923356691892E-8</v>
      </c>
      <c r="Q78" s="28">
        <v>0.45454545454545453</v>
      </c>
      <c r="R78" s="60">
        <v>1060.1045582995916</v>
      </c>
      <c r="S78" s="57">
        <v>1.9204405875512467E-6</v>
      </c>
      <c r="U78" s="127">
        <v>5.7842593776619363E-10</v>
      </c>
      <c r="V78" s="127">
        <v>5.4808134561746988E-10</v>
      </c>
      <c r="W78" s="128">
        <v>6.3347987882553831E-10</v>
      </c>
      <c r="X78" s="128">
        <f t="shared" si="2"/>
        <v>5.7701712695666798E-10</v>
      </c>
      <c r="Y78" s="139">
        <f t="shared" si="3"/>
        <v>2.8109652474405324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7.6706234876992107E-10</v>
      </c>
      <c r="K79" s="109">
        <v>1.016915379035651E-10</v>
      </c>
      <c r="L79" s="152">
        <v>5.6973221647132332E-10</v>
      </c>
      <c r="N79" s="18">
        <v>1.4275976588473022E-6</v>
      </c>
      <c r="O79" s="18">
        <v>1.2872462070995875E-10</v>
      </c>
      <c r="P79" s="18">
        <v>4.0613147545803174E-8</v>
      </c>
      <c r="Q79" s="28">
        <v>0.45454545454545453</v>
      </c>
      <c r="R79" s="60">
        <v>1060.1045582995916</v>
      </c>
      <c r="S79" s="57">
        <v>1.9084969104115585E-6</v>
      </c>
      <c r="U79" s="127">
        <v>5.4300617629805947E-10</v>
      </c>
      <c r="V79" s="127">
        <v>5.6973221647132332E-10</v>
      </c>
      <c r="W79" s="128">
        <v>7.0929813743462827E-10</v>
      </c>
      <c r="X79" s="128">
        <f t="shared" si="2"/>
        <v>5.979421866688336E-10</v>
      </c>
      <c r="Y79" s="139">
        <f t="shared" si="3"/>
        <v>2.7658023534570373</v>
      </c>
      <c r="AA79" s="73"/>
      <c r="AB79" s="176"/>
      <c r="AC79" s="176"/>
      <c r="AD79" s="176"/>
      <c r="AJ79" s="135"/>
    </row>
    <row r="80" spans="2:36" x14ac:dyDescent="0.35">
      <c r="I80" s="109">
        <v>1.7958576551799998E-2</v>
      </c>
      <c r="J80" s="109">
        <v>6.483228518776647E-10</v>
      </c>
      <c r="K80" s="109">
        <v>9.4037431152206806E-11</v>
      </c>
      <c r="L80" s="152">
        <v>6.1854239956448636E-10</v>
      </c>
      <c r="N80" s="18">
        <v>1.5664461392835374E-6</v>
      </c>
      <c r="O80" s="18">
        <v>1.2043579780249245E-10</v>
      </c>
      <c r="P80" s="18">
        <v>3.7358141531164883E-8</v>
      </c>
      <c r="Q80" s="28">
        <v>0.45454545454545453</v>
      </c>
      <c r="R80" s="60">
        <v>1068.7272751428454</v>
      </c>
      <c r="S80" s="57">
        <v>1.9084969104115585E-6</v>
      </c>
      <c r="U80" s="127">
        <v>5.344495213046552E-10</v>
      </c>
      <c r="V80" s="127">
        <v>6.1854239956448636E-10</v>
      </c>
      <c r="W80" s="128">
        <v>8.060181221985716E-10</v>
      </c>
      <c r="X80" s="128">
        <f t="shared" si="2"/>
        <v>6.4438811065804983E-10</v>
      </c>
      <c r="Y80" s="139">
        <f t="shared" si="3"/>
        <v>1.7507770139622975E-3</v>
      </c>
      <c r="AA80" s="73"/>
      <c r="AB80" s="176"/>
      <c r="AC80" s="176"/>
      <c r="AD80" s="176"/>
      <c r="AJ80" s="135"/>
    </row>
    <row r="81" spans="2:36" x14ac:dyDescent="0.35">
      <c r="I81" s="109">
        <v>1.8138162317300002E-2</v>
      </c>
      <c r="J81" s="109">
        <v>1.0107103979102374E-9</v>
      </c>
      <c r="K81" s="109">
        <v>1.1360592911803175E-10</v>
      </c>
      <c r="L81" s="152">
        <v>6.9175481571714921E-10</v>
      </c>
      <c r="N81" s="18">
        <v>1.727387198213203E-6</v>
      </c>
      <c r="O81" s="18">
        <v>1.1093048112340735E-10</v>
      </c>
      <c r="P81" s="18">
        <v>3.3625420575865659E-8</v>
      </c>
      <c r="Q81" s="28">
        <v>0.45454545454545453</v>
      </c>
      <c r="R81" s="60">
        <v>1068.7272751428454</v>
      </c>
      <c r="S81" s="57">
        <v>1.8969563244877234E-6</v>
      </c>
      <c r="U81" s="127">
        <v>5.5306748278939817E-10</v>
      </c>
      <c r="V81" s="127">
        <v>6.9175481571714921E-10</v>
      </c>
      <c r="W81" s="128">
        <v>9.1794776853590573E-10</v>
      </c>
      <c r="X81" s="128">
        <f t="shared" si="2"/>
        <v>7.1363122068990069E-10</v>
      </c>
      <c r="Y81" s="139">
        <f t="shared" si="3"/>
        <v>6.8382099266405909</v>
      </c>
      <c r="AA81" s="73"/>
      <c r="AB81" s="176"/>
      <c r="AC81" s="176"/>
      <c r="AD81" s="176"/>
      <c r="AJ81" s="135"/>
    </row>
    <row r="82" spans="2:36" x14ac:dyDescent="0.35">
      <c r="I82" s="109">
        <v>1.8319543940500001E-2</v>
      </c>
      <c r="J82" s="109">
        <v>1.0865761827204861E-9</v>
      </c>
      <c r="K82" s="109">
        <v>1.1915757136309466E-10</v>
      </c>
      <c r="L82" s="152">
        <v>7.8528358415030079E-10</v>
      </c>
      <c r="N82" s="18">
        <v>1.9049228510912076E-6</v>
      </c>
      <c r="O82" s="18">
        <v>1.0051655036892841E-10</v>
      </c>
      <c r="P82" s="18">
        <v>2.9535888489069367E-8</v>
      </c>
      <c r="Q82" s="28">
        <v>0.45454545454545453</v>
      </c>
      <c r="R82" s="60">
        <v>1077.3499919860992</v>
      </c>
      <c r="S82" s="57">
        <v>1.8969563244877234E-6</v>
      </c>
      <c r="U82" s="127">
        <v>5.9783970926157776E-10</v>
      </c>
      <c r="V82" s="127">
        <v>7.8528358415030079E-10</v>
      </c>
      <c r="W82" s="128">
        <v>1.0384632013311075E-9</v>
      </c>
      <c r="X82" s="128">
        <f t="shared" si="2"/>
        <v>8.0171751972332164E-10</v>
      </c>
      <c r="Y82" s="139">
        <f t="shared" si="3"/>
        <v>5.7149913475089749</v>
      </c>
      <c r="AA82" s="73"/>
      <c r="AB82" s="176"/>
      <c r="AC82" s="176"/>
      <c r="AD82" s="176"/>
      <c r="AJ82" s="135"/>
    </row>
    <row r="83" spans="2:36" x14ac:dyDescent="0.35">
      <c r="I83" s="109">
        <v>1.8502739379900001E-2</v>
      </c>
      <c r="J83" s="109">
        <v>1.1539867274551809E-9</v>
      </c>
      <c r="K83" s="109">
        <v>1.2100833530456561E-10</v>
      </c>
      <c r="L83" s="152">
        <v>8.9388878374062607E-10</v>
      </c>
      <c r="N83" s="18">
        <v>2.0445234750626518E-6</v>
      </c>
      <c r="O83" s="18">
        <v>9.2360844852852474E-11</v>
      </c>
      <c r="P83" s="18">
        <v>2.6333157437289582E-8</v>
      </c>
      <c r="Q83" s="28">
        <v>0.22727272727272727</v>
      </c>
      <c r="R83" s="60">
        <v>1077.3499919860992</v>
      </c>
      <c r="S83" s="57">
        <v>1.8859321281374977E-6</v>
      </c>
      <c r="U83" s="127">
        <v>6.664159923071555E-10</v>
      </c>
      <c r="V83" s="127">
        <v>8.9388878374062607E-10</v>
      </c>
      <c r="W83" s="128">
        <v>1.1603466852885697E-9</v>
      </c>
      <c r="X83" s="128">
        <f t="shared" si="2"/>
        <v>9.0363506126924424E-10</v>
      </c>
      <c r="Y83" s="139">
        <f t="shared" si="3"/>
        <v>4.2802624520342336</v>
      </c>
      <c r="AA83" s="73"/>
      <c r="AB83" s="176"/>
      <c r="AC83" s="176"/>
      <c r="AD83" s="176"/>
      <c r="AJ83" s="135"/>
    </row>
    <row r="84" spans="2:36" x14ac:dyDescent="0.35">
      <c r="I84" s="109">
        <v>1.8687766773700001E-2</v>
      </c>
      <c r="J84" s="109">
        <v>1.035936764261378E-9</v>
      </c>
      <c r="K84" s="109">
        <v>1.1434572956658532E-10</v>
      </c>
      <c r="L84" s="152">
        <v>1.011418667596974E-9</v>
      </c>
      <c r="N84" s="18">
        <v>2.1411167493014851E-6</v>
      </c>
      <c r="O84" s="18">
        <v>8.6317846783659503E-11</v>
      </c>
      <c r="P84" s="18">
        <v>2.3960082842590184E-8</v>
      </c>
      <c r="Q84" s="28">
        <v>0.27433079872934468</v>
      </c>
      <c r="R84" s="60">
        <v>1085.972708829353</v>
      </c>
      <c r="S84" s="57">
        <v>1.8859321281374977E-6</v>
      </c>
      <c r="U84" s="127">
        <v>7.5518795837491421E-10</v>
      </c>
      <c r="V84" s="127">
        <v>1.011418667596974E-9</v>
      </c>
      <c r="W84" s="128">
        <v>1.2761680113012026E-9</v>
      </c>
      <c r="X84" s="128">
        <f t="shared" si="2"/>
        <v>1.0135483262175161E-9</v>
      </c>
      <c r="Y84" s="139">
        <f t="shared" si="3"/>
        <v>3.8336079018845198E-2</v>
      </c>
      <c r="AA84" s="73"/>
      <c r="AB84" s="176"/>
      <c r="AC84" s="176"/>
      <c r="AD84" s="176"/>
      <c r="AJ84" s="135"/>
    </row>
    <row r="85" spans="2:36" x14ac:dyDescent="0.35">
      <c r="I85" s="109">
        <v>1.8874644441399999E-2</v>
      </c>
      <c r="J85" s="109">
        <v>1.2822868306070547E-9</v>
      </c>
      <c r="K85" s="109">
        <v>1.2526658877440036E-10</v>
      </c>
      <c r="L85" s="152">
        <v>1.1311090168192869E-9</v>
      </c>
      <c r="N85" s="18">
        <v>2.255607043348213E-6</v>
      </c>
      <c r="O85" s="18">
        <v>7.9721203172187416E-11</v>
      </c>
      <c r="P85" s="18">
        <v>2.1369592628059781E-8</v>
      </c>
      <c r="Q85" s="28">
        <v>0.27901782563242211</v>
      </c>
      <c r="R85" s="60">
        <v>1085.972708829353</v>
      </c>
      <c r="S85" s="57">
        <v>1.8755210602578627E-6</v>
      </c>
      <c r="U85" s="127">
        <v>8.594292169282028E-10</v>
      </c>
      <c r="V85" s="127">
        <v>1.1311090168192869E-9</v>
      </c>
      <c r="W85" s="128">
        <v>1.3786921568653364E-9</v>
      </c>
      <c r="X85" s="128">
        <f t="shared" si="2"/>
        <v>1.1250848518580283E-9</v>
      </c>
      <c r="Y85" s="139">
        <f t="shared" si="3"/>
        <v>1.5748729175570577</v>
      </c>
      <c r="AA85" s="73"/>
      <c r="AB85" s="176"/>
      <c r="AC85" s="176"/>
      <c r="AD85" s="176"/>
      <c r="AJ85" s="135"/>
    </row>
    <row r="86" spans="2:36" x14ac:dyDescent="0.35">
      <c r="I86" s="109">
        <v>1.9063390885799999E-2</v>
      </c>
      <c r="J86" s="109">
        <v>1.2700456446446588E-9</v>
      </c>
      <c r="K86" s="109">
        <v>1.2463625657761103E-10</v>
      </c>
      <c r="L86" s="152">
        <v>1.2459268075013586E-9</v>
      </c>
      <c r="N86" s="18">
        <v>2.3700749442513368E-6</v>
      </c>
      <c r="O86" s="18">
        <v>7.3125849797489764E-11</v>
      </c>
      <c r="P86" s="18">
        <v>1.8779609087216092E-8</v>
      </c>
      <c r="Q86" s="28">
        <v>0.28889548286974742</v>
      </c>
      <c r="R86" s="60">
        <v>1094.5954256726068</v>
      </c>
      <c r="S86" s="57">
        <v>1.8755210602578627E-6</v>
      </c>
      <c r="U86" s="127">
        <v>9.7349926749277405E-10</v>
      </c>
      <c r="V86" s="127">
        <v>1.2459268075013586E-9</v>
      </c>
      <c r="W86" s="128">
        <v>1.4612947088625755E-9</v>
      </c>
      <c r="X86" s="128">
        <f t="shared" si="2"/>
        <v>1.2316618978395168E-9</v>
      </c>
      <c r="Y86" s="139">
        <f t="shared" si="3"/>
        <v>9.4843143203086039E-2</v>
      </c>
      <c r="AA86" s="73"/>
      <c r="AB86" s="176"/>
      <c r="AC86" s="176"/>
      <c r="AD86" s="176"/>
      <c r="AJ86" s="135"/>
    </row>
    <row r="87" spans="2:36" x14ac:dyDescent="0.35">
      <c r="I87" s="109">
        <v>1.9254024794699998E-2</v>
      </c>
      <c r="J87" s="109">
        <v>1.3908782017251204E-9</v>
      </c>
      <c r="K87" s="109">
        <v>1.3425094218349303E-10</v>
      </c>
      <c r="L87" s="152">
        <v>1.3489433743604189E-9</v>
      </c>
      <c r="N87" s="18">
        <v>2.4844458017234639E-6</v>
      </c>
      <c r="O87" s="18">
        <v>6.6536087821909837E-11</v>
      </c>
      <c r="P87" s="18">
        <v>1.619182127886201E-8</v>
      </c>
      <c r="Q87" s="28">
        <v>0.30511585966628851</v>
      </c>
      <c r="R87" s="60">
        <v>1094.5954256726068</v>
      </c>
      <c r="S87" s="57">
        <v>1.8658009080554407E-6</v>
      </c>
      <c r="U87" s="127">
        <v>1.0911034227069637E-9</v>
      </c>
      <c r="V87" s="127">
        <v>1.3489433743604189E-9</v>
      </c>
      <c r="W87" s="128">
        <v>1.5183653169581227E-9</v>
      </c>
      <c r="X87" s="128">
        <f t="shared" si="2"/>
        <v>1.3268388720964811E-9</v>
      </c>
      <c r="Y87" s="139">
        <f t="shared" si="3"/>
        <v>0.22754058455468745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1.3039527460846807E-9</v>
      </c>
      <c r="K88" s="109">
        <v>1.2896392656892259E-10</v>
      </c>
      <c r="L88" s="152">
        <v>1.4337206018108372E-9</v>
      </c>
      <c r="N88" s="18">
        <v>2.5985365078718796E-6</v>
      </c>
      <c r="O88" s="18">
        <v>5.9962467463007486E-11</v>
      </c>
      <c r="P88" s="18">
        <v>1.3610372254670404E-8</v>
      </c>
      <c r="Q88" s="28">
        <v>0.32985484968757195</v>
      </c>
      <c r="R88" s="60">
        <v>1103.2181425158606</v>
      </c>
      <c r="S88" s="57">
        <v>1.8658009080554407E-6</v>
      </c>
      <c r="U88" s="127">
        <v>1.2055984211549053E-9</v>
      </c>
      <c r="V88" s="127">
        <v>1.4337206018108372E-9</v>
      </c>
      <c r="W88" s="128">
        <v>1.5456782575515052E-9</v>
      </c>
      <c r="X88" s="128">
        <f t="shared" si="2"/>
        <v>1.4046794705820211E-9</v>
      </c>
      <c r="Y88" s="139">
        <f t="shared" si="3"/>
        <v>0.61003243630782022</v>
      </c>
      <c r="AA88" s="73"/>
      <c r="AB88" s="176"/>
      <c r="AC88" s="176"/>
      <c r="AD88" s="176"/>
      <c r="AJ88" s="135"/>
    </row>
    <row r="89" spans="2:36" x14ac:dyDescent="0.35">
      <c r="I89" s="109">
        <v>1.9641030693100001E-2</v>
      </c>
      <c r="J89" s="109">
        <v>1.8189511742898766E-9</v>
      </c>
      <c r="K89" s="109">
        <v>1.5183670438531425E-10</v>
      </c>
      <c r="L89" s="152">
        <v>1.4946921920307385E-9</v>
      </c>
      <c r="N89" s="18">
        <v>2.711966410663156E-6</v>
      </c>
      <c r="O89" s="18">
        <v>5.3426920936307296E-11</v>
      </c>
      <c r="P89" s="18">
        <v>1.1043874756672797E-8</v>
      </c>
      <c r="Q89" s="28">
        <v>0.36718140925644527</v>
      </c>
      <c r="R89" s="60">
        <v>1103.2181425158606</v>
      </c>
      <c r="S89" s="57">
        <v>1.8568290886829434E-6</v>
      </c>
      <c r="U89" s="127">
        <v>1.3103312251498205E-9</v>
      </c>
      <c r="V89" s="127">
        <v>1.4946921920307385E-9</v>
      </c>
      <c r="W89" s="128">
        <v>1.5407081309764698E-9</v>
      </c>
      <c r="X89" s="128">
        <f t="shared" si="2"/>
        <v>1.4601059350469417E-9</v>
      </c>
      <c r="Y89" s="139">
        <f t="shared" si="3"/>
        <v>5.5854843602322557</v>
      </c>
      <c r="AA89" s="73"/>
      <c r="AB89" s="176"/>
      <c r="AC89" s="176"/>
      <c r="AD89" s="176"/>
      <c r="AJ89" s="135"/>
    </row>
    <row r="90" spans="2:36" x14ac:dyDescent="0.35">
      <c r="I90" s="109">
        <v>1.9837441000000001E-2</v>
      </c>
      <c r="J90" s="109">
        <v>1.5545127566805028E-9</v>
      </c>
      <c r="K90" s="109">
        <v>1.411524041521319E-10</v>
      </c>
      <c r="L90" s="152">
        <v>1.5275206798807975E-9</v>
      </c>
      <c r="N90" s="18">
        <v>2.8239927137034601E-6</v>
      </c>
      <c r="O90" s="18">
        <v>4.69722463071545E-11</v>
      </c>
      <c r="P90" s="18">
        <v>8.5091355090167258E-9</v>
      </c>
      <c r="Q90" s="28">
        <v>0.42522182801861985</v>
      </c>
      <c r="R90" s="60">
        <v>1111.8408593591143</v>
      </c>
      <c r="S90" s="57">
        <v>1.8568290886829434E-6</v>
      </c>
      <c r="U90" s="127">
        <v>1.3989966142968844E-9</v>
      </c>
      <c r="V90" s="127">
        <v>1.5275206798807975E-9</v>
      </c>
      <c r="W90" s="128">
        <v>1.5028681183952408E-9</v>
      </c>
      <c r="X90" s="128">
        <f t="shared" si="2"/>
        <v>1.4892265231134301E-9</v>
      </c>
      <c r="Y90" s="139">
        <f t="shared" si="3"/>
        <v>0.2139275264557749</v>
      </c>
      <c r="AA90" s="73"/>
      <c r="AB90" s="176"/>
      <c r="AC90" s="176"/>
      <c r="AD90" s="176"/>
      <c r="AJ90" s="135"/>
    </row>
    <row r="91" spans="2:36" x14ac:dyDescent="0.35">
      <c r="I91" s="109">
        <v>2.0035815410000001E-2</v>
      </c>
      <c r="J91" s="109">
        <v>1.5075870067895771E-9</v>
      </c>
      <c r="K91" s="109">
        <v>1.3503940830000809E-10</v>
      </c>
      <c r="L91" s="152">
        <v>1.5294096716006567E-9</v>
      </c>
      <c r="N91" s="18">
        <v>2.9331773360899732E-6</v>
      </c>
      <c r="O91" s="18">
        <v>4.0681302190590146E-11</v>
      </c>
      <c r="P91" s="18">
        <v>6.038692942470242E-9</v>
      </c>
      <c r="Q91" s="28">
        <v>0.52252270986663085</v>
      </c>
      <c r="R91" s="60">
        <v>1111.8408593591143</v>
      </c>
      <c r="S91" s="57">
        <v>1.8486422202341636E-6</v>
      </c>
      <c r="U91" s="127">
        <v>1.4659974953760636E-9</v>
      </c>
      <c r="V91" s="127">
        <v>1.5294096716006567E-9</v>
      </c>
      <c r="W91" s="128">
        <v>1.4336486180609962E-9</v>
      </c>
      <c r="X91" s="128">
        <f t="shared" si="2"/>
        <v>1.4896163641595933E-9</v>
      </c>
      <c r="Y91" s="139">
        <f t="shared" si="3"/>
        <v>1.7709494416618732E-2</v>
      </c>
      <c r="AA91" s="73"/>
      <c r="AB91" s="176"/>
      <c r="AC91" s="176"/>
      <c r="AD91" s="176"/>
      <c r="AJ91" s="135"/>
    </row>
    <row r="92" spans="2:36" x14ac:dyDescent="0.35">
      <c r="I92" s="109">
        <v>2.0236173564099999E-2</v>
      </c>
      <c r="J92" s="109">
        <v>1.736372095651759E-9</v>
      </c>
      <c r="K92" s="109">
        <v>1.4611010313387351E-10</v>
      </c>
      <c r="L92" s="152">
        <v>1.4993500273416222E-9</v>
      </c>
      <c r="N92" s="18">
        <v>3.0366355283788469E-6</v>
      </c>
      <c r="O92" s="18">
        <v>3.4720300614873111E-11</v>
      </c>
      <c r="P92" s="18">
        <v>3.6978182249334949E-9</v>
      </c>
      <c r="Q92" s="28">
        <v>0.71317718802348939</v>
      </c>
      <c r="R92" s="60">
        <v>1120.4635762023681</v>
      </c>
      <c r="S92" s="57">
        <v>1.8486422202341636E-6</v>
      </c>
      <c r="U92" s="127">
        <v>1.5067902936554468E-9</v>
      </c>
      <c r="V92" s="127">
        <v>1.4993500273416222E-9</v>
      </c>
      <c r="W92" s="128">
        <v>1.3366361074385729E-9</v>
      </c>
      <c r="X92" s="128">
        <f t="shared" si="2"/>
        <v>1.4605316139443159E-9</v>
      </c>
      <c r="Y92" s="139">
        <f t="shared" si="3"/>
        <v>3.5641462014889993</v>
      </c>
      <c r="AA92" s="73"/>
      <c r="AB92" s="176"/>
      <c r="AC92" s="176"/>
      <c r="AD92" s="176"/>
      <c r="AJ92" s="135"/>
    </row>
    <row r="93" spans="2:36" x14ac:dyDescent="0.35">
      <c r="I93" s="109">
        <v>2.0438535299700002E-2</v>
      </c>
      <c r="J93" s="109">
        <v>1.3780521197586297E-9</v>
      </c>
      <c r="K93" s="109">
        <v>1.2783363717659728E-10</v>
      </c>
      <c r="L93" s="152">
        <v>1.4382788157328743E-9</v>
      </c>
      <c r="N93" s="18">
        <v>3.1280658500650879E-6</v>
      </c>
      <c r="O93" s="18">
        <v>2.9452314778447387E-11</v>
      </c>
      <c r="P93" s="18">
        <v>1.6290895557337576E-9</v>
      </c>
      <c r="Q93" s="28">
        <v>1.281588875373888</v>
      </c>
      <c r="R93" s="60">
        <v>1120.4635762023681</v>
      </c>
      <c r="S93" s="57">
        <v>1.8412566331646644E-6</v>
      </c>
      <c r="U93" s="127">
        <v>1.5181964408483124E-9</v>
      </c>
      <c r="V93" s="127">
        <v>1.4382788157328743E-9</v>
      </c>
      <c r="W93" s="128">
        <v>1.2173963699436296E-9</v>
      </c>
      <c r="X93" s="128">
        <f t="shared" si="2"/>
        <v>1.4030376105644228E-9</v>
      </c>
      <c r="Y93" s="139">
        <f t="shared" si="3"/>
        <v>3.8201945292804025E-2</v>
      </c>
      <c r="AA93" s="73"/>
      <c r="AB93" s="176"/>
      <c r="AC93" s="176"/>
      <c r="AD93" s="176"/>
      <c r="AJ93" s="135"/>
    </row>
    <row r="94" spans="2:36" x14ac:dyDescent="0.35">
      <c r="I94" s="109">
        <v>2.06429206527E-2</v>
      </c>
      <c r="J94" s="109">
        <v>1.1610581562337222E-9</v>
      </c>
      <c r="K94" s="109">
        <v>1.2589033400733713E-10</v>
      </c>
      <c r="L94" s="152">
        <v>1.3491313650318227E-9</v>
      </c>
      <c r="N94" s="18">
        <v>3.1912672545492482E-6</v>
      </c>
      <c r="O94" s="18">
        <v>2.5810808355585536E-11</v>
      </c>
      <c r="P94" s="18">
        <v>1.990764596544104E-10</v>
      </c>
      <c r="Q94" s="28">
        <v>1.7210815880741237</v>
      </c>
      <c r="R94" s="60">
        <v>1129.0862930456219</v>
      </c>
      <c r="S94" s="57">
        <v>1.8412566331646644E-6</v>
      </c>
      <c r="U94" s="127">
        <v>1.4986600126972097E-9</v>
      </c>
      <c r="V94" s="127">
        <v>1.3491313650318227E-9</v>
      </c>
      <c r="W94" s="128">
        <v>1.0832132308646942E-9</v>
      </c>
      <c r="X94" s="128">
        <f t="shared" si="2"/>
        <v>1.3200339934063873E-9</v>
      </c>
      <c r="Y94" s="139">
        <f t="shared" si="3"/>
        <v>1.5946944022167266</v>
      </c>
      <c r="AA94" s="73"/>
      <c r="AB94" s="176"/>
      <c r="AC94" s="176"/>
      <c r="AD94" s="176"/>
      <c r="AJ94" s="135"/>
    </row>
    <row r="95" spans="2:36" x14ac:dyDescent="0.35">
      <c r="I95" s="109">
        <v>2.0849349859299999E-2</v>
      </c>
      <c r="J95" s="109">
        <v>1.0704050803136566E-9</v>
      </c>
      <c r="K95" s="109">
        <v>1.1613044165971295E-10</v>
      </c>
      <c r="L95" s="152">
        <v>1.2367701650842565E-9</v>
      </c>
      <c r="N95" s="18">
        <v>3.1999999999999999E-6</v>
      </c>
      <c r="O95" s="18">
        <v>2.5307649463664093E-11</v>
      </c>
      <c r="P95" s="18">
        <v>1.486857631694136E-12</v>
      </c>
      <c r="Q95" s="28">
        <v>9.0124969606539302</v>
      </c>
      <c r="R95" s="60">
        <v>1129.0862930456219</v>
      </c>
      <c r="S95" s="57">
        <v>1.8346697166028916E-6</v>
      </c>
      <c r="U95" s="127">
        <v>1.4484313289652286E-9</v>
      </c>
      <c r="V95" s="127">
        <v>1.2367701650842565E-9</v>
      </c>
      <c r="W95" s="128">
        <v>9.4268375451410498E-10</v>
      </c>
      <c r="X95" s="128">
        <f t="shared" si="2"/>
        <v>1.2161638534119617E-9</v>
      </c>
      <c r="Y95" s="139">
        <f t="shared" si="3"/>
        <v>1.5753507085852836</v>
      </c>
      <c r="AA95" s="73"/>
      <c r="AB95" s="176"/>
      <c r="AC95" s="176"/>
      <c r="AD95" s="176"/>
      <c r="AJ95" s="135"/>
    </row>
    <row r="96" spans="2:36" x14ac:dyDescent="0.35">
      <c r="I96" s="109">
        <v>2.1057843357800001E-2</v>
      </c>
      <c r="J96" s="109">
        <v>1.1114912789218778E-9</v>
      </c>
      <c r="K96" s="109">
        <v>1.1724745712083778E-10</v>
      </c>
      <c r="L96" s="152">
        <v>1.1077801547643555E-9</v>
      </c>
      <c r="N96" s="18">
        <v>3.1954958694737124E-6</v>
      </c>
      <c r="O96" s="18">
        <v>2.5394460155846639E-11</v>
      </c>
      <c r="P96" s="18">
        <v>1.4888560802367562E-12</v>
      </c>
      <c r="Q96" s="28">
        <v>1.7210815880741237</v>
      </c>
      <c r="R96" s="60">
        <v>1137.7090098888757</v>
      </c>
      <c r="S96" s="57">
        <v>1.8346697166028916E-6</v>
      </c>
      <c r="U96" s="127">
        <v>1.3696572376463342E-9</v>
      </c>
      <c r="V96" s="127">
        <v>1.1077801547643555E-9</v>
      </c>
      <c r="W96" s="128">
        <v>8.0518304306263684E-10</v>
      </c>
      <c r="X96" s="128">
        <f t="shared" si="2"/>
        <v>1.0976001475594206E-9</v>
      </c>
      <c r="Y96" s="139">
        <f t="shared" si="3"/>
        <v>1.4036808391276554E-2</v>
      </c>
      <c r="AA96" s="73"/>
      <c r="AB96" s="176"/>
      <c r="AC96" s="176"/>
      <c r="AD96" s="176"/>
      <c r="AJ96" s="135"/>
    </row>
    <row r="97" spans="9:36" x14ac:dyDescent="0.35">
      <c r="I97" s="109">
        <v>2.12684217914E-2</v>
      </c>
      <c r="J97" s="109">
        <v>9.9591050962676776E-10</v>
      </c>
      <c r="K97" s="109">
        <v>1.1194615801541099E-10</v>
      </c>
      <c r="L97" s="152">
        <v>9.7012821604881978E-10</v>
      </c>
      <c r="N97" s="18">
        <v>3.1628981741845572E-6</v>
      </c>
      <c r="O97" s="18">
        <v>2.6022734242286083E-11</v>
      </c>
      <c r="P97" s="18">
        <v>1.5033194303246767E-12</v>
      </c>
      <c r="Q97" s="28">
        <v>1.281588875373888</v>
      </c>
      <c r="R97" s="60">
        <v>1137.7090098888757</v>
      </c>
      <c r="S97" s="57">
        <v>1.8288619496523514E-6</v>
      </c>
      <c r="U97" s="127">
        <v>1.2663613276868352E-9</v>
      </c>
      <c r="V97" s="127">
        <v>9.7012821604881978E-10</v>
      </c>
      <c r="W97" s="128">
        <v>6.8022535769299911E-10</v>
      </c>
      <c r="X97" s="128">
        <f t="shared" si="2"/>
        <v>9.7171077936936837E-10</v>
      </c>
      <c r="Y97" s="139">
        <f t="shared" si="3"/>
        <v>4.6730740596535668E-2</v>
      </c>
      <c r="AA97" s="73"/>
      <c r="AB97" s="176"/>
      <c r="AC97" s="176"/>
      <c r="AD97" s="176"/>
      <c r="AJ97" s="135"/>
    </row>
    <row r="98" spans="9:36" x14ac:dyDescent="0.35">
      <c r="I98" s="109">
        <v>2.1481106009300002E-2</v>
      </c>
      <c r="J98" s="109">
        <v>8.6230672681310875E-10</v>
      </c>
      <c r="K98" s="109">
        <v>1.0707625764201339E-10</v>
      </c>
      <c r="L98" s="152">
        <v>8.3269524945495132E-10</v>
      </c>
      <c r="N98" s="18">
        <v>3.1157407131938853E-6</v>
      </c>
      <c r="O98" s="18">
        <v>2.6931627047740807E-11</v>
      </c>
      <c r="P98" s="18">
        <v>1.5242428379924715E-12</v>
      </c>
      <c r="Q98" s="28">
        <v>0.71317718802348939</v>
      </c>
      <c r="R98" s="60">
        <v>1146.3317267321295</v>
      </c>
      <c r="S98" s="57">
        <v>1.8288619496523514E-6</v>
      </c>
      <c r="U98" s="127">
        <v>1.1443018526728855E-9</v>
      </c>
      <c r="V98" s="127">
        <v>8.3269524945495132E-10</v>
      </c>
      <c r="W98" s="128">
        <v>5.7676174566789055E-10</v>
      </c>
      <c r="X98" s="128">
        <f t="shared" si="2"/>
        <v>8.466135243126697E-10</v>
      </c>
      <c r="Y98" s="139">
        <f t="shared" si="3"/>
        <v>2.148012426865353E-2</v>
      </c>
      <c r="AA98" s="73"/>
      <c r="AB98" s="176"/>
      <c r="AC98" s="176"/>
      <c r="AD98" s="176"/>
      <c r="AJ98" s="135"/>
    </row>
    <row r="99" spans="9:36" x14ac:dyDescent="0.35">
      <c r="I99" s="109">
        <v>2.1695917069400002E-2</v>
      </c>
      <c r="J99" s="109">
        <v>6.7191869084044306E-10</v>
      </c>
      <c r="K99" s="109">
        <v>9.7990953119100647E-11</v>
      </c>
      <c r="L99" s="152">
        <v>7.0470129943648285E-10</v>
      </c>
      <c r="N99" s="18">
        <v>3.0623795789766111E-6</v>
      </c>
      <c r="O99" s="18">
        <v>2.7960086807068764E-11</v>
      </c>
      <c r="P99" s="18">
        <v>1.5479187684049419E-12</v>
      </c>
      <c r="Q99" s="28">
        <v>0.52252270986663085</v>
      </c>
      <c r="R99" s="60">
        <v>1146.3317267321295</v>
      </c>
      <c r="S99" s="57">
        <v>1.8237994385202825E-6</v>
      </c>
      <c r="U99" s="127">
        <v>1.010701910954309E-9</v>
      </c>
      <c r="V99" s="127">
        <v>7.0470129943648285E-10</v>
      </c>
      <c r="W99" s="128">
        <v>5.0246584944184793E-10</v>
      </c>
      <c r="X99" s="128">
        <f t="shared" si="2"/>
        <v>7.3064258981728069E-10</v>
      </c>
      <c r="Y99" s="139">
        <f t="shared" si="3"/>
        <v>0.35913505787783678</v>
      </c>
      <c r="AA99" s="73"/>
      <c r="AB99" s="176"/>
      <c r="AC99" s="176"/>
      <c r="AD99" s="176"/>
      <c r="AJ99" s="135"/>
    </row>
    <row r="100" spans="9:36" x14ac:dyDescent="0.35">
      <c r="I100" s="109">
        <v>2.19128762401E-2</v>
      </c>
      <c r="J100" s="109">
        <v>7.0925734806787853E-10</v>
      </c>
      <c r="K100" s="109">
        <v>9.9709347609534661E-11</v>
      </c>
      <c r="L100" s="152">
        <v>5.9505666803452329E-10</v>
      </c>
      <c r="N100" s="18">
        <v>3.0060648961010269E-6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1154.9544435753833</v>
      </c>
      <c r="S100" s="57">
        <v>1.8237994385202825E-6</v>
      </c>
      <c r="U100" s="127">
        <v>8.7385534323857551E-10</v>
      </c>
      <c r="V100" s="127">
        <v>5.9505666803452329E-10</v>
      </c>
      <c r="W100" s="128">
        <v>4.6306724335423821E-10</v>
      </c>
      <c r="X100" s="128">
        <f t="shared" si="2"/>
        <v>6.3175898066546515E-10</v>
      </c>
      <c r="Y100" s="139">
        <f t="shared" si="3"/>
        <v>0.60410629033337782</v>
      </c>
      <c r="AA100" s="73"/>
      <c r="AB100" s="176"/>
      <c r="AC100" s="176"/>
      <c r="AD100" s="176"/>
      <c r="AJ100" s="135"/>
    </row>
    <row r="101" spans="9:36" x14ac:dyDescent="0.35">
      <c r="I101" s="109">
        <v>2.21320050025E-2</v>
      </c>
      <c r="J101" s="109">
        <v>5.823492671460625E-10</v>
      </c>
      <c r="K101" s="109">
        <v>9.0561798247791245E-11</v>
      </c>
      <c r="L101" s="152">
        <v>5.116832610812609E-10</v>
      </c>
      <c r="N101" s="18">
        <v>2.9482845457957806E-6</v>
      </c>
      <c r="O101" s="18">
        <v>3.015910585130201E-11</v>
      </c>
      <c r="P101" s="18">
        <v>1.5985418690121882E-12</v>
      </c>
      <c r="Q101" s="28">
        <v>0.36718140925644527</v>
      </c>
      <c r="R101" s="60">
        <v>1154.9544435753833</v>
      </c>
      <c r="S101" s="57">
        <v>1.819436767269665E-6</v>
      </c>
      <c r="U101" s="127">
        <v>7.4262240361140666E-10</v>
      </c>
      <c r="V101" s="127">
        <v>5.116832610812609E-10</v>
      </c>
      <c r="W101" s="128">
        <v>4.61793936919977E-10</v>
      </c>
      <c r="X101" s="128">
        <f t="shared" si="2"/>
        <v>5.5694571567347636E-10</v>
      </c>
      <c r="Y101" s="139">
        <f t="shared" si="3"/>
        <v>7.8686240752023073E-2</v>
      </c>
      <c r="AA101" s="73"/>
      <c r="AB101" s="176"/>
      <c r="AC101" s="176"/>
      <c r="AD101" s="176"/>
      <c r="AJ101" s="135"/>
    </row>
    <row r="102" spans="9:36" x14ac:dyDescent="0.35">
      <c r="I102" s="109">
        <v>2.2353325052600001E-2</v>
      </c>
      <c r="J102" s="109">
        <v>3.8704628385672516E-10</v>
      </c>
      <c r="K102" s="109">
        <v>7.9740045743252432E-11</v>
      </c>
      <c r="L102" s="152">
        <v>4.6085891423036151E-10</v>
      </c>
      <c r="N102" s="18">
        <v>2.8897802540312648E-6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1163.577160418637</v>
      </c>
      <c r="S102" s="57">
        <v>1.819436767269665E-6</v>
      </c>
      <c r="U102" s="127">
        <v>6.2584067011265225E-10</v>
      </c>
      <c r="V102" s="127">
        <v>4.6085891423036151E-10</v>
      </c>
      <c r="W102" s="128">
        <v>4.9898172878544039E-10</v>
      </c>
      <c r="X102" s="128">
        <f t="shared" si="2"/>
        <v>5.1163505683970386E-10</v>
      </c>
      <c r="Y102" s="139">
        <f t="shared" si="3"/>
        <v>2.4412084044364577</v>
      </c>
      <c r="AA102" s="73"/>
      <c r="AB102" s="176"/>
      <c r="AC102" s="176"/>
      <c r="AD102" s="176"/>
      <c r="AJ102" s="135"/>
    </row>
    <row r="103" spans="9:36" x14ac:dyDescent="0.35">
      <c r="I103" s="109">
        <v>2.2576858303100002E-2</v>
      </c>
      <c r="J103" s="109">
        <v>3.9346857863597474E-10</v>
      </c>
      <c r="K103" s="109">
        <v>7.6655628384727112E-11</v>
      </c>
      <c r="L103" s="152">
        <v>4.4664165431367615E-10</v>
      </c>
      <c r="N103" s="18">
        <v>2.8309351365104562E-6</v>
      </c>
      <c r="O103" s="18">
        <v>3.242084835361548E-11</v>
      </c>
      <c r="P103" s="18">
        <v>1.6506089116067295E-12</v>
      </c>
      <c r="Q103" s="28">
        <v>0.30511585966628851</v>
      </c>
      <c r="R103" s="60">
        <v>1163.577160418637</v>
      </c>
      <c r="S103" s="57">
        <v>1.8157199726191644E-6</v>
      </c>
      <c r="U103" s="127">
        <v>5.3168766603280726E-10</v>
      </c>
      <c r="V103" s="127">
        <v>4.4664165431367615E-10</v>
      </c>
      <c r="W103" s="128">
        <v>5.7189785491837353E-10</v>
      </c>
      <c r="X103" s="128">
        <f t="shared" si="2"/>
        <v>4.992172073946333E-10</v>
      </c>
      <c r="Y103" s="139">
        <f t="shared" si="3"/>
        <v>1.9030990520733497</v>
      </c>
      <c r="AA103" s="73"/>
      <c r="AB103" s="176"/>
      <c r="AC103" s="176"/>
      <c r="AD103" s="176"/>
      <c r="AJ103" s="135"/>
    </row>
    <row r="104" spans="9:36" x14ac:dyDescent="0.35">
      <c r="I104" s="109">
        <v>2.2802626886099998E-2</v>
      </c>
      <c r="J104" s="109">
        <v>4.7372952440943619E-10</v>
      </c>
      <c r="K104" s="109">
        <v>8.4232695548186758E-11</v>
      </c>
      <c r="L104" s="152">
        <v>4.7042972712196385E-10</v>
      </c>
      <c r="N104" s="18">
        <v>2.7719455239810363E-6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1172.1998772618908</v>
      </c>
      <c r="S104" s="57">
        <v>1.8157199726191644E-6</v>
      </c>
      <c r="U104" s="127">
        <v>4.6704084521045399E-10</v>
      </c>
      <c r="V104" s="127">
        <v>4.7042972712196385E-10</v>
      </c>
      <c r="W104" s="128">
        <v>6.7481067665079285E-10</v>
      </c>
      <c r="X104" s="128">
        <f t="shared" si="2"/>
        <v>5.2067774402629364E-10</v>
      </c>
      <c r="Y104" s="139">
        <f t="shared" si="3"/>
        <v>0.31065393365436056</v>
      </c>
      <c r="AA104" s="73"/>
      <c r="AB104" s="176"/>
      <c r="AC104" s="176"/>
      <c r="AD104" s="176"/>
      <c r="AJ104" s="135"/>
    </row>
    <row r="105" spans="9:36" x14ac:dyDescent="0.35">
      <c r="I105" s="109">
        <v>2.3030653155000001E-2</v>
      </c>
      <c r="J105" s="109">
        <v>5.0783139595290276E-10</v>
      </c>
      <c r="K105" s="109">
        <v>8.8387602830823429E-11</v>
      </c>
      <c r="L105" s="152">
        <v>5.3070638784937452E-10</v>
      </c>
      <c r="N105" s="18">
        <v>2.7129058588899802E-6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1172.1998772618908</v>
      </c>
      <c r="S105" s="57">
        <v>1.8125894695004999E-6</v>
      </c>
      <c r="U105" s="127">
        <v>4.3688655607681207E-10</v>
      </c>
      <c r="V105" s="127">
        <v>5.3070638784937452E-10</v>
      </c>
      <c r="W105" s="128">
        <v>7.993174987828418E-10</v>
      </c>
      <c r="X105" s="128">
        <f t="shared" si="2"/>
        <v>5.7440420763960077E-10</v>
      </c>
      <c r="Y105" s="139">
        <f t="shared" si="3"/>
        <v>0.56729778554893073</v>
      </c>
      <c r="AA105" s="73"/>
      <c r="AB105" s="176"/>
      <c r="AC105" s="176"/>
      <c r="AD105" s="176"/>
      <c r="AJ105" s="135"/>
    </row>
    <row r="106" spans="9:36" x14ac:dyDescent="0.35">
      <c r="I106" s="109">
        <v>2.32609596865E-2</v>
      </c>
      <c r="J106" s="109">
        <v>6.5340214706479044E-10</v>
      </c>
      <c r="K106" s="109">
        <v>4.3504472653794943E-11</v>
      </c>
      <c r="L106" s="152">
        <v>6.2300626202174232E-10</v>
      </c>
      <c r="N106" s="18">
        <v>2.6538546439785086E-6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1180.8225941051446</v>
      </c>
      <c r="S106" s="57">
        <v>1.8125894695004999E-6</v>
      </c>
      <c r="U106" s="127">
        <v>4.438311918688813E-10</v>
      </c>
      <c r="V106" s="127">
        <v>6.2300626202174232E-10</v>
      </c>
      <c r="W106" s="128">
        <v>9.3492086199164931E-10</v>
      </c>
      <c r="X106" s="128">
        <f t="shared" si="2"/>
        <v>6.5619114447600385E-10</v>
      </c>
      <c r="Y106" s="139">
        <f t="shared" si="3"/>
        <v>4.109873029529928E-3</v>
      </c>
      <c r="AA106" s="73"/>
      <c r="AB106" s="176"/>
      <c r="AC106" s="176"/>
      <c r="AD106" s="176"/>
      <c r="AJ106" s="135"/>
    </row>
    <row r="107" spans="9:36" x14ac:dyDescent="0.35">
      <c r="I107" s="109">
        <v>2.34935692834E-2</v>
      </c>
      <c r="J107" s="109">
        <v>8.288589390485628E-10</v>
      </c>
      <c r="K107" s="109">
        <v>4.7828564338354723E-11</v>
      </c>
      <c r="L107" s="152">
        <v>7.4012356740133808E-10</v>
      </c>
      <c r="N107" s="18">
        <v>2.5948021420779923E-6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1180.8225941051446</v>
      </c>
      <c r="S107" s="57">
        <v>1.8099827809497376E-6</v>
      </c>
      <c r="U107" s="127">
        <v>4.8776429780296839E-10</v>
      </c>
      <c r="V107" s="127">
        <v>7.4012356740133808E-10</v>
      </c>
      <c r="W107" s="128">
        <v>1.069821702437983E-9</v>
      </c>
      <c r="X107" s="128">
        <f t="shared" si="2"/>
        <v>7.5945828376090691E-10</v>
      </c>
      <c r="Y107" s="139">
        <f t="shared" si="3"/>
        <v>2.1054864575761587</v>
      </c>
      <c r="AA107" s="73"/>
      <c r="AB107" s="176"/>
      <c r="AC107" s="176"/>
      <c r="AD107" s="176"/>
      <c r="AJ107" s="135"/>
    </row>
    <row r="108" spans="9:36" x14ac:dyDescent="0.35">
      <c r="I108" s="109">
        <v>2.37285049762E-2</v>
      </c>
      <c r="J108" s="109">
        <v>9.4006396993173347E-10</v>
      </c>
      <c r="K108" s="109">
        <v>5.1397689504816898E-11</v>
      </c>
      <c r="L108" s="152">
        <v>8.7256310959531598E-10</v>
      </c>
      <c r="N108" s="18">
        <v>2.5357509271665206E-6</v>
      </c>
      <c r="O108" s="18">
        <v>3.8110103002198277E-11</v>
      </c>
      <c r="P108" s="18">
        <v>1.781579905791945E-12</v>
      </c>
      <c r="Q108" s="28">
        <v>0.27901782563242211</v>
      </c>
      <c r="R108" s="60">
        <v>1189.4453109483984</v>
      </c>
      <c r="S108" s="57">
        <v>1.8099827809497376E-6</v>
      </c>
      <c r="U108" s="127">
        <v>5.6571487184415646E-10</v>
      </c>
      <c r="V108" s="127">
        <v>8.7256310959531598E-10</v>
      </c>
      <c r="W108" s="128">
        <v>1.1918772574558044E-9</v>
      </c>
      <c r="X108" s="128">
        <f t="shared" si="2"/>
        <v>8.7567958712264816E-10</v>
      </c>
      <c r="Y108" s="139">
        <f t="shared" si="3"/>
        <v>1.5691840346573394</v>
      </c>
      <c r="AA108" s="73"/>
      <c r="AB108" s="176"/>
      <c r="AC108" s="176"/>
      <c r="AD108" s="176"/>
      <c r="AJ108" s="135"/>
    </row>
    <row r="109" spans="9:36" x14ac:dyDescent="0.35">
      <c r="I109" s="109">
        <v>2.3965790026000001E-2</v>
      </c>
      <c r="J109" s="109">
        <v>1.1179876972501411E-9</v>
      </c>
      <c r="K109" s="109">
        <v>5.7277483151288312E-11</v>
      </c>
      <c r="L109" s="152">
        <v>1.0092143855550196E-9</v>
      </c>
      <c r="N109" s="18">
        <v>2.4767112620754646E-6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1189.4453109483984</v>
      </c>
      <c r="S109" s="57">
        <v>1.8078369596774733E-6</v>
      </c>
      <c r="U109" s="127">
        <v>6.7192901366437869E-10</v>
      </c>
      <c r="V109" s="127">
        <v>1.0092143855550196E-9</v>
      </c>
      <c r="W109" s="128">
        <v>1.2896538315969835E-9</v>
      </c>
      <c r="X109" s="128">
        <f t="shared" si="2"/>
        <v>9.9500290409285045E-10</v>
      </c>
      <c r="Y109" s="139">
        <f t="shared" si="3"/>
        <v>4.6103614756807048</v>
      </c>
      <c r="AA109" s="73"/>
      <c r="AB109" s="176"/>
      <c r="AC109" s="176"/>
      <c r="AD109" s="176"/>
      <c r="AJ109" s="135"/>
    </row>
    <row r="110" spans="9:36" x14ac:dyDescent="0.35">
      <c r="I110" s="109">
        <v>2.42054479262E-2</v>
      </c>
      <c r="J110" s="109">
        <v>1.3699658644867455E-9</v>
      </c>
      <c r="K110" s="109">
        <v>6.3279821114975243E-11</v>
      </c>
      <c r="L110" s="152">
        <v>1.1382089310690484E-9</v>
      </c>
      <c r="N110" s="18">
        <v>2.4177216495460447E-6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1198.0680277916522</v>
      </c>
      <c r="S110" s="57">
        <v>1.8078369596774733E-6</v>
      </c>
      <c r="U110" s="127">
        <v>7.9818049721648128E-10</v>
      </c>
      <c r="V110" s="127">
        <v>1.1382089310690484E-9</v>
      </c>
      <c r="W110" s="128">
        <v>1.3534905497708824E-9</v>
      </c>
      <c r="X110" s="128">
        <f t="shared" si="2"/>
        <v>1.107022227281365E-9</v>
      </c>
      <c r="Y110" s="139">
        <f t="shared" si="3"/>
        <v>17.266123643155201</v>
      </c>
      <c r="AA110" s="73"/>
      <c r="AB110" s="176"/>
      <c r="AC110" s="176"/>
      <c r="AD110" s="176"/>
      <c r="AJ110" s="135"/>
    </row>
    <row r="111" spans="9:36" x14ac:dyDescent="0.35">
      <c r="I111" s="109">
        <v>2.4447502405500001E-2</v>
      </c>
      <c r="J111" s="109">
        <v>1.2960324013652021E-9</v>
      </c>
      <c r="K111" s="109">
        <v>6.0751446836474405E-11</v>
      </c>
      <c r="L111" s="152">
        <v>1.2479026150404799E-9</v>
      </c>
      <c r="N111" s="18">
        <v>2.3588765320252361E-6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1198.0680277916522</v>
      </c>
      <c r="S111" s="57">
        <v>1.8060906250481978E-6</v>
      </c>
      <c r="U111" s="127">
        <v>9.3430712803716254E-10</v>
      </c>
      <c r="V111" s="127">
        <v>1.2479026150404799E-9</v>
      </c>
      <c r="W111" s="128">
        <v>1.3764809962204274E-9</v>
      </c>
      <c r="X111" s="128">
        <f t="shared" si="2"/>
        <v>1.2016483385846374E-9</v>
      </c>
      <c r="Y111" s="139">
        <f t="shared" si="3"/>
        <v>2.4137044137010011</v>
      </c>
      <c r="AA111" s="73"/>
      <c r="AB111" s="176"/>
      <c r="AC111" s="176"/>
      <c r="AD111" s="176"/>
      <c r="AJ111" s="135"/>
    </row>
    <row r="112" spans="9:36" x14ac:dyDescent="0.35">
      <c r="I112" s="109">
        <v>2.4691977429599998E-2</v>
      </c>
      <c r="J112" s="109">
        <v>1.2990399154871037E-9</v>
      </c>
      <c r="K112" s="109">
        <v>5.9285090091738135E-11</v>
      </c>
      <c r="L112" s="152">
        <v>1.327909059214434E-9</v>
      </c>
      <c r="N112" s="18">
        <v>2.3003722402607203E-6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1206.690744634906</v>
      </c>
      <c r="S112" s="57">
        <v>1.8060906250481978E-6</v>
      </c>
      <c r="U112" s="127">
        <v>1.0689463460962586E-9</v>
      </c>
      <c r="V112" s="127">
        <v>1.327909059214434E-9</v>
      </c>
      <c r="W112" s="128">
        <v>1.3552762839702323E-9</v>
      </c>
      <c r="X112" s="128">
        <f t="shared" si="2"/>
        <v>1.2700101871238397E-9</v>
      </c>
      <c r="Y112" s="139">
        <f t="shared" si="3"/>
        <v>0.23977007316625129</v>
      </c>
      <c r="AA112" s="73"/>
      <c r="AB112" s="176"/>
      <c r="AC112" s="176"/>
      <c r="AD112" s="176"/>
      <c r="AJ112" s="135"/>
    </row>
    <row r="113" spans="9:36" x14ac:dyDescent="0.35">
      <c r="I113" s="109">
        <v>2.4938897203899999E-2</v>
      </c>
      <c r="J113" s="109">
        <v>1.5032734839793123E-9</v>
      </c>
      <c r="K113" s="109">
        <v>6.5889582217613379E-11</v>
      </c>
      <c r="L113" s="152">
        <v>1.3700988044646138E-9</v>
      </c>
      <c r="N113" s="18">
        <v>2.242591889955474E-6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1206.690744634906</v>
      </c>
      <c r="S113" s="57">
        <v>1.8046652114343051E-6</v>
      </c>
      <c r="U113" s="127">
        <v>1.1904248363387691E-9</v>
      </c>
      <c r="V113" s="127">
        <v>1.3700988044646138E-9</v>
      </c>
      <c r="W113" s="128">
        <v>1.2906170167574592E-9</v>
      </c>
      <c r="X113" s="128">
        <f t="shared" si="2"/>
        <v>1.305309865506364E-9</v>
      </c>
      <c r="Y113" s="139">
        <f t="shared" si="3"/>
        <v>9.0268714792807483</v>
      </c>
      <c r="AA113" s="73"/>
      <c r="AB113" s="176"/>
      <c r="AC113" s="176"/>
      <c r="AD113" s="176"/>
      <c r="AJ113" s="135"/>
    </row>
    <row r="114" spans="9:36" x14ac:dyDescent="0.35">
      <c r="I114" s="109">
        <v>2.51882861759E-2</v>
      </c>
      <c r="J114" s="109">
        <v>1.4619613846061086E-9</v>
      </c>
      <c r="K114" s="109">
        <v>7.2932996556251495E-11</v>
      </c>
      <c r="L114" s="152">
        <v>1.3694723504054576E-9</v>
      </c>
      <c r="N114" s="18">
        <v>2.1862772070798898E-6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1215.3134614781598</v>
      </c>
      <c r="S114" s="57">
        <v>1.8046652114343051E-6</v>
      </c>
      <c r="U114" s="127">
        <v>1.2877401354098035E-9</v>
      </c>
      <c r="V114" s="127">
        <v>1.3694723504054576E-9</v>
      </c>
      <c r="W114" s="128">
        <v>1.1875143324505844E-9</v>
      </c>
      <c r="X114" s="128">
        <f t="shared" si="2"/>
        <v>1.3035497921678257E-9</v>
      </c>
      <c r="Y114" s="139">
        <f t="shared" si="3"/>
        <v>4.7176509425060962</v>
      </c>
      <c r="AA114" s="73"/>
      <c r="AB114" s="176"/>
      <c r="AC114" s="176"/>
      <c r="AD114" s="176"/>
      <c r="AJ114" s="135"/>
    </row>
    <row r="115" spans="9:36" x14ac:dyDescent="0.35">
      <c r="I115" s="109">
        <v>2.5440169037600002E-2</v>
      </c>
      <c r="J115" s="109">
        <v>1.4109377065645851E-9</v>
      </c>
      <c r="K115" s="109">
        <v>6.9631057301849714E-11</v>
      </c>
      <c r="L115" s="152">
        <v>1.3248150661599376E-9</v>
      </c>
      <c r="N115" s="18">
        <v>2.1329160728626156E-6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1215.3134614781598</v>
      </c>
      <c r="S115" s="57">
        <v>1.7859575038339328E-6</v>
      </c>
      <c r="U115" s="127">
        <v>1.3515584996781417E-9</v>
      </c>
      <c r="V115" s="127">
        <v>1.3248150661599376E-9</v>
      </c>
      <c r="W115" s="128">
        <v>1.0550230786328735E-9</v>
      </c>
      <c r="X115" s="128">
        <f t="shared" si="2"/>
        <v>1.2640529276577227E-9</v>
      </c>
      <c r="Y115" s="139">
        <f t="shared" si="3"/>
        <v>4.4498729184635435</v>
      </c>
      <c r="AA115" s="73"/>
      <c r="AB115" s="176"/>
      <c r="AC115" s="176"/>
      <c r="AD115" s="176"/>
      <c r="AJ115" s="135"/>
    </row>
    <row r="116" spans="9:36" x14ac:dyDescent="0.35">
      <c r="I116" s="109">
        <v>2.5694570728E-2</v>
      </c>
      <c r="J116" s="109">
        <v>1.3151845149796422E-9</v>
      </c>
      <c r="K116" s="109">
        <v>6.8659554361813789E-11</v>
      </c>
      <c r="L116" s="152">
        <v>1.2390496622619669E-9</v>
      </c>
      <c r="N116" s="18">
        <v>2.0857586118719437E-6</v>
      </c>
      <c r="O116" s="18">
        <v>4.6783063108384949E-11</v>
      </c>
      <c r="P116" s="18">
        <v>1.9812380820908275E-12</v>
      </c>
      <c r="Q116" s="28">
        <v>1.281588875373888</v>
      </c>
      <c r="R116" s="60">
        <v>1223.9361783214135</v>
      </c>
      <c r="S116" s="57">
        <v>1.7859575038339328E-6</v>
      </c>
      <c r="U116" s="127">
        <v>1.3751437364100963E-9</v>
      </c>
      <c r="V116" s="127">
        <v>1.2390496622619669E-9</v>
      </c>
      <c r="W116" s="128">
        <v>9.0558364213532867E-10</v>
      </c>
      <c r="X116" s="128">
        <f t="shared" si="2"/>
        <v>1.1897066757673397E-9</v>
      </c>
      <c r="Y116" s="139">
        <f t="shared" si="3"/>
        <v>3.3398895280001049</v>
      </c>
      <c r="AA116" s="73"/>
      <c r="AB116" s="176"/>
      <c r="AC116" s="176"/>
      <c r="AD116" s="176"/>
      <c r="AJ116" s="135"/>
    </row>
    <row r="117" spans="9:36" x14ac:dyDescent="0.35">
      <c r="I117" s="109">
        <v>2.5951516435299998E-2</v>
      </c>
      <c r="J117" s="109">
        <v>1.1083298729293217E-9</v>
      </c>
      <c r="K117" s="109">
        <v>6.2023823758026542E-11</v>
      </c>
      <c r="L117" s="152">
        <v>1.1192188170764944E-9</v>
      </c>
      <c r="N117" s="18">
        <v>2.0531609165827885E-6</v>
      </c>
      <c r="O117" s="18">
        <v>4.7411337194824393E-11</v>
      </c>
      <c r="P117" s="18">
        <v>1.995701432178748E-12</v>
      </c>
      <c r="Q117" s="28">
        <v>1.7210815880741237</v>
      </c>
      <c r="R117" s="60">
        <v>1223.9361783214135</v>
      </c>
      <c r="S117" s="57">
        <v>1.5483253500019976E-6</v>
      </c>
      <c r="U117" s="127">
        <v>1.355127521877609E-9</v>
      </c>
      <c r="V117" s="127">
        <v>1.1192188170764944E-9</v>
      </c>
      <c r="W117" s="128">
        <v>7.5395196487236958E-10</v>
      </c>
      <c r="X117" s="128">
        <f t="shared" si="2"/>
        <v>1.0868792802257417E-9</v>
      </c>
      <c r="Y117" s="139">
        <f t="shared" si="3"/>
        <v>0.11960835559414906</v>
      </c>
      <c r="AA117" s="73"/>
      <c r="AB117" s="176"/>
      <c r="AC117" s="176"/>
      <c r="AD117" s="176"/>
      <c r="AJ117" s="135"/>
    </row>
    <row r="118" spans="9:36" x14ac:dyDescent="0.35">
      <c r="I118" s="109">
        <v>2.6211031599700001E-2</v>
      </c>
      <c r="J118" s="109">
        <v>9.1608742489540373E-10</v>
      </c>
      <c r="K118" s="109">
        <v>5.5708935215183598E-11</v>
      </c>
      <c r="L118" s="152">
        <v>9.760575228536949E-10</v>
      </c>
      <c r="N118" s="18">
        <v>2.048656786056501E-6</v>
      </c>
      <c r="O118" s="18">
        <v>4.7498147887006942E-11</v>
      </c>
      <c r="P118" s="18">
        <v>1.9976998807213682E-12</v>
      </c>
      <c r="Q118" s="28">
        <v>100</v>
      </c>
      <c r="R118" s="60">
        <v>1228.2475367430404</v>
      </c>
      <c r="S118" s="57">
        <v>1.5483253500019976E-6</v>
      </c>
      <c r="U118" s="127">
        <v>1.2920343121000808E-9</v>
      </c>
      <c r="V118" s="127">
        <v>9.760575228536949E-10</v>
      </c>
      <c r="W118" s="128">
        <v>6.1578664334447498E-10</v>
      </c>
      <c r="X118" s="128">
        <f t="shared" si="2"/>
        <v>9.6498400028798639E-10</v>
      </c>
      <c r="Y118" s="139">
        <f t="shared" si="3"/>
        <v>0.77038385188958125</v>
      </c>
      <c r="AA118" s="73"/>
      <c r="AB118" s="176"/>
      <c r="AC118" s="176"/>
      <c r="AD118" s="176"/>
      <c r="AJ118" s="135"/>
    </row>
    <row r="119" spans="9:36" x14ac:dyDescent="0.35">
      <c r="I119" s="109">
        <v>2.6473141915700001E-2</v>
      </c>
      <c r="J119" s="109">
        <v>8.9510853514301406E-10</v>
      </c>
      <c r="K119" s="109">
        <v>5.4803552729832359E-11</v>
      </c>
      <c r="L119" s="152">
        <v>8.2315148164644611E-10</v>
      </c>
      <c r="R119" s="60">
        <v>1228.2475367430404</v>
      </c>
      <c r="S119" s="57">
        <v>1.374991114711807E-6</v>
      </c>
      <c r="U119" s="127">
        <v>1.1904847021921145E-9</v>
      </c>
      <c r="V119" s="127">
        <v>8.2315148164644611E-10</v>
      </c>
      <c r="W119" s="128">
        <v>5.0601228214316263E-10</v>
      </c>
      <c r="X119" s="128">
        <f t="shared" si="2"/>
        <v>8.3569998690704231E-10</v>
      </c>
      <c r="Y119" s="139">
        <f t="shared" si="3"/>
        <v>1.1751152243259635</v>
      </c>
      <c r="AA119" s="73"/>
      <c r="AB119" s="176"/>
      <c r="AC119" s="176"/>
      <c r="AD119" s="176"/>
      <c r="AJ119" s="135"/>
    </row>
    <row r="120" spans="9:36" x14ac:dyDescent="0.35">
      <c r="I120" s="109">
        <v>2.6737873334799999E-2</v>
      </c>
      <c r="J120" s="109">
        <v>6.5502942410356326E-10</v>
      </c>
      <c r="K120" s="109">
        <v>4.874372500583204E-11</v>
      </c>
      <c r="L120" s="152">
        <v>6.7572244474532707E-10</v>
      </c>
      <c r="R120" s="60">
        <v>1228.4748094703132</v>
      </c>
      <c r="S120" s="57">
        <v>1.374991114711807E-6</v>
      </c>
      <c r="U120" s="127">
        <v>1.0590211438005252E-9</v>
      </c>
      <c r="V120" s="127">
        <v>6.7572244474532707E-10</v>
      </c>
      <c r="W120" s="128">
        <v>4.3712219113967287E-10</v>
      </c>
      <c r="X120" s="128">
        <f t="shared" si="2"/>
        <v>7.1189705610771303E-10</v>
      </c>
      <c r="Y120" s="139">
        <f t="shared" si="3"/>
        <v>1.361108853144507</v>
      </c>
      <c r="AA120" s="73"/>
      <c r="AB120" s="176"/>
      <c r="AC120" s="176"/>
      <c r="AD120" s="176"/>
      <c r="AJ120" s="135"/>
    </row>
    <row r="121" spans="9:36" x14ac:dyDescent="0.35">
      <c r="I121" s="109">
        <v>2.7005252068200002E-2</v>
      </c>
      <c r="J121" s="109">
        <v>6.1066262310735011E-10</v>
      </c>
      <c r="K121" s="109">
        <v>4.5776461943508142E-11</v>
      </c>
      <c r="L121" s="152">
        <v>5.4912971116437737E-10</v>
      </c>
      <c r="R121" s="60">
        <v>1228.4748094703132</v>
      </c>
      <c r="S121" s="57">
        <v>1.3484095092912262E-6</v>
      </c>
      <c r="U121" s="127">
        <v>9.0952966954941294E-10</v>
      </c>
      <c r="V121" s="127">
        <v>5.4912971116437737E-10</v>
      </c>
      <c r="W121" s="128">
        <v>4.1761313345916009E-10</v>
      </c>
      <c r="X121" s="128">
        <f t="shared" si="2"/>
        <v>6.0635055633433194E-10</v>
      </c>
      <c r="Y121" s="139">
        <f t="shared" si="3"/>
        <v>8.8733274516385394E-3</v>
      </c>
      <c r="AA121" s="73"/>
      <c r="AB121" s="176"/>
      <c r="AC121" s="176"/>
      <c r="AD121" s="176"/>
      <c r="AJ121" s="135"/>
    </row>
    <row r="122" spans="9:36" x14ac:dyDescent="0.35">
      <c r="I122" s="109">
        <v>2.7275304588799999E-2</v>
      </c>
      <c r="J122" s="109">
        <v>5.3423802467380132E-10</v>
      </c>
      <c r="K122" s="109">
        <v>4.5852806852102427E-11</v>
      </c>
      <c r="L122" s="152">
        <v>4.5722310720087705E-10</v>
      </c>
      <c r="R122" s="60">
        <v>1228.9293549248587</v>
      </c>
      <c r="S122" s="57">
        <v>1.3484095092912262E-6</v>
      </c>
      <c r="U122" s="127">
        <v>7.5626978752652598E-10</v>
      </c>
      <c r="V122" s="127">
        <v>4.5722310720087705E-10</v>
      </c>
      <c r="W122" s="128">
        <v>4.5075306455715157E-10</v>
      </c>
      <c r="X122" s="128">
        <f t="shared" si="2"/>
        <v>5.3036726662135798E-10</v>
      </c>
      <c r="Y122" s="139">
        <f t="shared" si="3"/>
        <v>7.1262359880440189E-3</v>
      </c>
      <c r="AA122" s="73"/>
      <c r="AB122" s="176"/>
      <c r="AC122" s="176"/>
      <c r="AD122" s="176"/>
      <c r="AJ122" s="135"/>
    </row>
    <row r="123" spans="9:36" x14ac:dyDescent="0.35">
      <c r="I123" s="109">
        <v>2.7548057634700002E-2</v>
      </c>
      <c r="J123" s="109">
        <v>4.6292468981710824E-10</v>
      </c>
      <c r="K123" s="109">
        <v>4.2653029680644423E-11</v>
      </c>
      <c r="L123" s="152">
        <v>4.1071945441229542E-10</v>
      </c>
      <c r="R123" s="60">
        <v>1228.9293549248587</v>
      </c>
      <c r="S123" s="57">
        <v>1.3133573486662199E-6</v>
      </c>
      <c r="U123" s="127">
        <v>6.1456934581046314E-10</v>
      </c>
      <c r="V123" s="127">
        <v>4.1071945441229542E-10</v>
      </c>
      <c r="W123" s="128">
        <v>5.3386508429609573E-10</v>
      </c>
      <c r="X123" s="128">
        <f t="shared" si="2"/>
        <v>4.9246833473278745E-10</v>
      </c>
      <c r="Y123" s="139">
        <f t="shared" si="3"/>
        <v>0.47976479897258223</v>
      </c>
      <c r="AA123" s="73"/>
      <c r="AB123" s="176"/>
      <c r="AC123" s="176"/>
      <c r="AD123" s="176"/>
      <c r="AJ123" s="135"/>
    </row>
    <row r="124" spans="9:36" x14ac:dyDescent="0.35">
      <c r="I124" s="109">
        <v>2.78235382111E-2</v>
      </c>
      <c r="J124" s="109">
        <v>5.5024969978749549E-10</v>
      </c>
      <c r="K124" s="109">
        <v>4.47524822925578E-11</v>
      </c>
      <c r="L124" s="152">
        <v>4.1579457658364848E-10</v>
      </c>
      <c r="R124" s="60">
        <v>1229.3839003794042</v>
      </c>
      <c r="S124" s="57">
        <v>1.3133573486662199E-6</v>
      </c>
      <c r="U124" s="127">
        <v>4.9928740042302082E-10</v>
      </c>
      <c r="V124" s="127">
        <v>4.1579457658364848E-10</v>
      </c>
      <c r="W124" s="128">
        <v>6.5826631039111182E-10</v>
      </c>
      <c r="X124" s="128">
        <f t="shared" si="2"/>
        <v>4.9728571599535748E-10</v>
      </c>
      <c r="Y124" s="139">
        <f t="shared" si="3"/>
        <v>1.4006416262658006</v>
      </c>
      <c r="AA124" s="73"/>
      <c r="AB124" s="176"/>
      <c r="AC124" s="176"/>
      <c r="AD124" s="176"/>
      <c r="AJ124" s="135"/>
    </row>
    <row r="125" spans="9:36" x14ac:dyDescent="0.35">
      <c r="I125" s="109">
        <v>2.81017735932E-2</v>
      </c>
      <c r="J125" s="109">
        <v>5.4029116558947281E-10</v>
      </c>
      <c r="K125" s="109">
        <v>4.7127685991503994E-11</v>
      </c>
      <c r="L125" s="152">
        <v>4.730805174914372E-10</v>
      </c>
      <c r="R125" s="60">
        <v>1229.3839003794042</v>
      </c>
      <c r="S125" s="57">
        <v>1.2791180248689619E-6</v>
      </c>
      <c r="U125" s="127">
        <v>4.2318982415878421E-10</v>
      </c>
      <c r="V125" s="127">
        <v>4.730805174914372E-10</v>
      </c>
      <c r="W125" s="128">
        <v>8.0993237894751014E-10</v>
      </c>
      <c r="X125" s="128">
        <f t="shared" si="2"/>
        <v>5.4482080952229221E-10</v>
      </c>
      <c r="Y125" s="139">
        <f t="shared" si="3"/>
        <v>9.2379561483303604E-3</v>
      </c>
      <c r="AA125" s="73"/>
      <c r="AB125" s="176"/>
      <c r="AC125" s="176"/>
      <c r="AD125" s="176"/>
      <c r="AJ125" s="135"/>
    </row>
    <row r="126" spans="9:36" x14ac:dyDescent="0.35">
      <c r="I126" s="109">
        <v>2.8382791329100002E-2</v>
      </c>
      <c r="J126" s="109">
        <v>6.9403740887771232E-10</v>
      </c>
      <c r="K126" s="109">
        <v>5.4898493918082787E-11</v>
      </c>
      <c r="L126" s="152">
        <v>5.7722989504972237E-10</v>
      </c>
      <c r="R126" s="60">
        <v>1229.8384458339497</v>
      </c>
      <c r="S126" s="57">
        <v>1.2791180248689619E-6</v>
      </c>
      <c r="U126" s="127">
        <v>3.9541270117618783E-10</v>
      </c>
      <c r="V126" s="127">
        <v>5.7722989504972237E-10</v>
      </c>
      <c r="W126" s="128">
        <v>9.7087376912231052E-10</v>
      </c>
      <c r="X126" s="128">
        <f t="shared" si="2"/>
        <v>6.3018656509948581E-10</v>
      </c>
      <c r="Y126" s="139">
        <f t="shared" si="3"/>
        <v>1.3527340475874701</v>
      </c>
      <c r="AA126" s="73"/>
      <c r="AB126" s="176"/>
      <c r="AC126" s="176"/>
      <c r="AD126" s="176"/>
      <c r="AJ126" s="135"/>
    </row>
    <row r="127" spans="9:36" x14ac:dyDescent="0.35">
      <c r="I127" s="109">
        <v>2.86666192424E-2</v>
      </c>
      <c r="J127" s="109">
        <v>6.9263229637110295E-10</v>
      </c>
      <c r="K127" s="109">
        <v>5.169102235128093E-11</v>
      </c>
      <c r="L127" s="152">
        <v>7.1715689286455214E-10</v>
      </c>
      <c r="R127" s="60">
        <v>1229.8384458339497</v>
      </c>
      <c r="S127" s="57">
        <v>1.246080047726297E-6</v>
      </c>
      <c r="U127" s="127">
        <v>4.2020100836009128E-10</v>
      </c>
      <c r="V127" s="127">
        <v>7.1715689286455214E-10</v>
      </c>
      <c r="W127" s="128">
        <v>1.1211186365228498E-9</v>
      </c>
      <c r="X127" s="128">
        <f t="shared" si="2"/>
        <v>7.439083576530114E-10</v>
      </c>
      <c r="Y127" s="139">
        <f t="shared" si="3"/>
        <v>0.98400900369646405</v>
      </c>
      <c r="AA127" s="73"/>
      <c r="AB127" s="176"/>
      <c r="AC127" s="176"/>
      <c r="AD127" s="176"/>
      <c r="AJ127" s="135"/>
    </row>
    <row r="128" spans="9:36" x14ac:dyDescent="0.35">
      <c r="I128" s="109">
        <v>2.89532854348E-2</v>
      </c>
      <c r="J128" s="109">
        <v>8.1673020439893015E-10</v>
      </c>
      <c r="K128" s="109">
        <v>6.2298780022875383E-11</v>
      </c>
      <c r="L128" s="152">
        <v>8.7699172842784072E-10</v>
      </c>
      <c r="R128" s="60">
        <v>1230.2929912884952</v>
      </c>
      <c r="S128" s="57">
        <v>1.246080047726297E-6</v>
      </c>
      <c r="U128" s="127">
        <v>4.9610001377649124E-10</v>
      </c>
      <c r="V128" s="127">
        <v>8.7699172842784072E-10</v>
      </c>
      <c r="W128" s="128">
        <v>1.2411089728225351E-9</v>
      </c>
      <c r="X128" s="128">
        <f t="shared" si="2"/>
        <v>8.7279811086367704E-10</v>
      </c>
      <c r="Y128" s="139">
        <f t="shared" si="3"/>
        <v>0.80997123563890439</v>
      </c>
      <c r="AA128" s="73"/>
      <c r="AB128" s="176"/>
      <c r="AC128" s="176"/>
      <c r="AD128" s="176"/>
      <c r="AJ128" s="135"/>
    </row>
    <row r="129" spans="9:36" x14ac:dyDescent="0.35">
      <c r="I129" s="109">
        <v>2.9242818289200001E-2</v>
      </c>
      <c r="J129" s="109">
        <v>9.8710323110961145E-10</v>
      </c>
      <c r="K129" s="109">
        <v>6.8151414405792921E-11</v>
      </c>
      <c r="L129" s="152">
        <v>1.0377000642656063E-9</v>
      </c>
      <c r="R129" s="60">
        <v>1230.2929912884952</v>
      </c>
      <c r="S129" s="57">
        <v>1.2146220337020639E-6</v>
      </c>
      <c r="U129" s="127">
        <v>6.1574242639385127E-10</v>
      </c>
      <c r="V129" s="127">
        <v>1.0377000642656063E-9</v>
      </c>
      <c r="W129" s="128">
        <v>1.3142433221665193E-9</v>
      </c>
      <c r="X129" s="128">
        <f t="shared" si="2"/>
        <v>1.0013464692728957E-9</v>
      </c>
      <c r="Y129" s="139">
        <f t="shared" si="3"/>
        <v>4.3678500996397383E-2</v>
      </c>
      <c r="AA129" s="73"/>
      <c r="AB129" s="176"/>
      <c r="AC129" s="176"/>
      <c r="AD129" s="176"/>
      <c r="AJ129" s="135"/>
    </row>
    <row r="130" spans="9:36" x14ac:dyDescent="0.35">
      <c r="I130" s="109">
        <v>2.9535246472099999E-2</v>
      </c>
      <c r="J130" s="109">
        <v>1.15466904260645E-9</v>
      </c>
      <c r="K130" s="109">
        <v>7.6441132418485035E-11</v>
      </c>
      <c r="L130" s="152">
        <v>1.1792302467421158E-9</v>
      </c>
      <c r="R130" s="60">
        <v>1230.7475367430407</v>
      </c>
      <c r="S130" s="57">
        <v>1.2146220337020639E-6</v>
      </c>
      <c r="U130" s="127">
        <v>7.6631726439335992E-10</v>
      </c>
      <c r="V130" s="127">
        <v>1.1792302467421158E-9</v>
      </c>
      <c r="W130" s="127">
        <v>1.3292499160876803E-9</v>
      </c>
      <c r="X130" s="128">
        <f t="shared" si="2"/>
        <v>1.1135069184913178E-9</v>
      </c>
      <c r="Y130" s="139">
        <f t="shared" si="3"/>
        <v>0.28996216338060848</v>
      </c>
      <c r="AA130" s="73"/>
      <c r="AB130" s="176"/>
      <c r="AC130" s="176"/>
      <c r="AD130" s="176"/>
      <c r="AJ130" s="135"/>
    </row>
    <row r="131" spans="9:36" x14ac:dyDescent="0.35">
      <c r="I131" s="109">
        <v>2.9830598936799999E-2</v>
      </c>
      <c r="J131" s="49">
        <v>1.1799153426585274E-9</v>
      </c>
      <c r="K131" s="49">
        <v>7.2576001775128174E-11</v>
      </c>
      <c r="L131" s="152">
        <v>1.2829697817455658E-9</v>
      </c>
      <c r="R131" s="60">
        <v>1230.7475367430407</v>
      </c>
      <c r="S131" s="57">
        <v>1.1851289221833947E-6</v>
      </c>
      <c r="U131" s="127">
        <v>9.3073169336628412E-10</v>
      </c>
      <c r="V131" s="127">
        <v>1.2829697817455658E-9</v>
      </c>
      <c r="W131" s="127">
        <v>1.2820578262915327E-9</v>
      </c>
      <c r="X131" s="128">
        <f t="shared" ref="X131:X194" si="4">(U131+2*V131+W131)/4</f>
        <v>1.1946822707872371E-9</v>
      </c>
      <c r="Y131" s="139">
        <f t="shared" ref="Y131:Y194" si="5">(J131-X131)*(J131-X131)/(K131*K131)</f>
        <v>4.1399418782086521E-2</v>
      </c>
      <c r="AA131" s="73"/>
      <c r="AB131" s="176"/>
      <c r="AC131" s="176"/>
      <c r="AD131" s="176"/>
      <c r="AJ131" s="135"/>
    </row>
    <row r="132" spans="9:36" x14ac:dyDescent="0.35">
      <c r="I132" s="109">
        <v>3.01289049262E-2</v>
      </c>
      <c r="J132" s="49">
        <v>1.2188851714089261E-9</v>
      </c>
      <c r="K132" s="49">
        <v>7.5681049237680367E-11</v>
      </c>
      <c r="L132" s="152">
        <v>1.3342282881809358E-9</v>
      </c>
      <c r="R132" s="60">
        <v>1231.2020821975862</v>
      </c>
      <c r="S132" s="57">
        <v>1.1851289221833947E-6</v>
      </c>
      <c r="U132" s="127">
        <v>1.0893924115814867E-9</v>
      </c>
      <c r="V132" s="127">
        <v>1.3342282881809358E-9</v>
      </c>
      <c r="W132" s="127">
        <v>1.1768579549240403E-9</v>
      </c>
      <c r="X132" s="128">
        <f t="shared" si="4"/>
        <v>1.2336767357168497E-9</v>
      </c>
      <c r="Y132" s="139">
        <f t="shared" si="5"/>
        <v>3.8199169692208539E-2</v>
      </c>
      <c r="AA132" s="73"/>
      <c r="AB132" s="176"/>
      <c r="AC132" s="176"/>
      <c r="AD132" s="176"/>
      <c r="AJ132" s="135"/>
    </row>
    <row r="133" spans="9:36" x14ac:dyDescent="0.35">
      <c r="I133" s="109">
        <v>3.0430193975400002E-2</v>
      </c>
      <c r="J133" s="49">
        <v>1.2398582166185521E-9</v>
      </c>
      <c r="K133" s="49">
        <v>7.8898509692457557E-11</v>
      </c>
      <c r="L133" s="152">
        <v>1.324426852538906E-9</v>
      </c>
      <c r="R133" s="60">
        <v>1231.2020821975862</v>
      </c>
      <c r="S133" s="57">
        <v>1.1580280708918983E-6</v>
      </c>
      <c r="U133" s="127">
        <v>1.2224478903384266E-9</v>
      </c>
      <c r="V133" s="127">
        <v>1.324426852538906E-9</v>
      </c>
      <c r="W133" s="127">
        <v>1.0261152112456787E-9</v>
      </c>
      <c r="X133" s="128">
        <f t="shared" si="4"/>
        <v>1.2243542016654793E-9</v>
      </c>
      <c r="Y133" s="139">
        <f t="shared" si="5"/>
        <v>3.8614530365870529E-2</v>
      </c>
      <c r="AA133" s="73"/>
      <c r="AB133" s="176"/>
      <c r="AC133" s="176"/>
      <c r="AD133" s="176"/>
      <c r="AJ133" s="135"/>
    </row>
    <row r="134" spans="9:36" x14ac:dyDescent="0.35">
      <c r="I134" s="109">
        <v>3.07344959152E-2</v>
      </c>
      <c r="J134" s="49">
        <v>1.2347940144891724E-9</v>
      </c>
      <c r="K134" s="49">
        <v>7.9166473733035474E-11</v>
      </c>
      <c r="L134" s="152">
        <v>1.2526716589086685E-9</v>
      </c>
      <c r="R134" s="60">
        <v>1231.6566276521316</v>
      </c>
      <c r="S134" s="57">
        <v>1.1580280708918983E-6</v>
      </c>
      <c r="U134" s="127">
        <v>1.3122569387245607E-9</v>
      </c>
      <c r="V134" s="127">
        <v>1.2526716589086685E-9</v>
      </c>
      <c r="W134" s="127">
        <v>8.494084185724529E-10</v>
      </c>
      <c r="X134" s="128">
        <f t="shared" si="4"/>
        <v>1.1667521687785877E-9</v>
      </c>
      <c r="Y134" s="139">
        <f t="shared" si="5"/>
        <v>0.73870250195451836</v>
      </c>
      <c r="AA134" s="73"/>
      <c r="AB134" s="176"/>
      <c r="AC134" s="176"/>
      <c r="AD134" s="176"/>
      <c r="AJ134" s="135"/>
    </row>
    <row r="135" spans="9:36" x14ac:dyDescent="0.35">
      <c r="I135" s="109">
        <v>3.1041840874300002E-2</v>
      </c>
      <c r="J135" s="49">
        <v>1.0416900373655469E-9</v>
      </c>
      <c r="K135" s="49">
        <v>7.582972004036647E-11</v>
      </c>
      <c r="L135" s="152">
        <v>1.1264295598812081E-9</v>
      </c>
      <c r="R135" s="60">
        <v>1231.6566276521316</v>
      </c>
      <c r="S135" s="57">
        <v>1.1338517919320441E-6</v>
      </c>
      <c r="U135" s="127">
        <v>1.3457925728783344E-9</v>
      </c>
      <c r="V135" s="127">
        <v>1.1264295598812081E-9</v>
      </c>
      <c r="W135" s="127">
        <v>6.7112880728264583E-10</v>
      </c>
      <c r="X135" s="128">
        <f t="shared" si="4"/>
        <v>1.0674451249808491E-9</v>
      </c>
      <c r="Y135" s="139">
        <f t="shared" si="5"/>
        <v>0.1153578512881054</v>
      </c>
      <c r="AA135" s="73"/>
      <c r="AB135" s="176"/>
      <c r="AC135" s="176"/>
      <c r="AD135" s="176"/>
      <c r="AJ135" s="135"/>
    </row>
    <row r="136" spans="9:36" x14ac:dyDescent="0.35">
      <c r="I136" s="109">
        <v>3.1352259283100002E-2</v>
      </c>
      <c r="J136" s="49">
        <v>1.0476313725294672E-9</v>
      </c>
      <c r="K136" s="49">
        <v>7.5061184311396325E-11</v>
      </c>
      <c r="L136" s="152">
        <v>9.6110820829185786E-10</v>
      </c>
      <c r="R136" s="60">
        <v>1232.1111731066771</v>
      </c>
      <c r="S136" s="57">
        <v>1.1338517919320441E-6</v>
      </c>
      <c r="U136" s="127">
        <v>1.3166622978272199E-9</v>
      </c>
      <c r="V136" s="127">
        <v>9.6110820829185786E-10</v>
      </c>
      <c r="W136" s="127">
        <v>5.1724582835031098E-10</v>
      </c>
      <c r="X136" s="128">
        <f t="shared" si="4"/>
        <v>9.3903113569031159E-10</v>
      </c>
      <c r="Y136" s="139">
        <f t="shared" si="5"/>
        <v>2.0932963681242898</v>
      </c>
      <c r="AA136" s="73"/>
      <c r="AB136" s="176"/>
      <c r="AC136" s="176"/>
      <c r="AD136" s="176"/>
      <c r="AJ136" s="135"/>
    </row>
    <row r="137" spans="9:36" x14ac:dyDescent="0.35">
      <c r="I137" s="109">
        <v>3.1665781875900002E-2</v>
      </c>
      <c r="J137" s="49">
        <v>7.5769617198321471E-10</v>
      </c>
      <c r="K137" s="49">
        <v>6.4472308299176079E-11</v>
      </c>
      <c r="L137" s="152">
        <v>7.7847149197240971E-10</v>
      </c>
      <c r="R137" s="60">
        <v>1232.1111731066771</v>
      </c>
      <c r="S137" s="57">
        <v>1.1133306450493241E-6</v>
      </c>
      <c r="U137" s="127">
        <v>1.2264346593716963E-9</v>
      </c>
      <c r="V137" s="127">
        <v>7.7847149197240971E-10</v>
      </c>
      <c r="W137" s="127">
        <v>4.115255591171144E-10</v>
      </c>
      <c r="X137" s="128">
        <f t="shared" si="4"/>
        <v>7.9872580060840757E-10</v>
      </c>
      <c r="Y137" s="139">
        <f t="shared" si="5"/>
        <v>0.40499413413010915</v>
      </c>
      <c r="AA137" s="73"/>
      <c r="AB137" s="176"/>
      <c r="AC137" s="176"/>
      <c r="AD137" s="176"/>
      <c r="AJ137" s="135"/>
    </row>
    <row r="138" spans="9:36" x14ac:dyDescent="0.35">
      <c r="I138" s="109">
        <v>3.19824396947E-2</v>
      </c>
      <c r="J138" s="49">
        <v>6.5204151665788375E-10</v>
      </c>
      <c r="K138" s="49">
        <v>6.266584442604026E-11</v>
      </c>
      <c r="L138" s="152">
        <v>6.0398273318872665E-10</v>
      </c>
      <c r="R138" s="60">
        <v>1232.5657185612226</v>
      </c>
      <c r="S138" s="57">
        <v>1.1133306450493241E-6</v>
      </c>
      <c r="U138" s="127">
        <v>1.0850130913847693E-9</v>
      </c>
      <c r="V138" s="127">
        <v>6.0398273318872665E-10</v>
      </c>
      <c r="W138" s="127">
        <v>3.7173031141633323E-10</v>
      </c>
      <c r="X138" s="128">
        <f t="shared" si="4"/>
        <v>6.661772172946389E-10</v>
      </c>
      <c r="Y138" s="139">
        <f t="shared" si="5"/>
        <v>5.088302075260312E-2</v>
      </c>
      <c r="AA138" s="73"/>
      <c r="AB138" s="176"/>
      <c r="AC138" s="176"/>
      <c r="AD138" s="176"/>
      <c r="AJ138" s="135"/>
    </row>
    <row r="139" spans="9:36" x14ac:dyDescent="0.35">
      <c r="I139" s="109">
        <v>3.2302264091600003E-2</v>
      </c>
      <c r="J139" s="49">
        <v>5.561483852833372E-10</v>
      </c>
      <c r="K139" s="49">
        <v>5.8926877826456038E-11</v>
      </c>
      <c r="L139" s="152">
        <v>4.6334488990075062E-10</v>
      </c>
      <c r="R139" s="60">
        <v>1232.5657185612226</v>
      </c>
      <c r="S139" s="57">
        <v>1.0975154363897611E-6</v>
      </c>
      <c r="U139" s="127">
        <v>9.0989364157414748E-10</v>
      </c>
      <c r="V139" s="127">
        <v>4.6334488990075062E-10</v>
      </c>
      <c r="W139" s="127">
        <v>4.0640501908594778E-10</v>
      </c>
      <c r="X139" s="128">
        <f t="shared" si="4"/>
        <v>5.6074711011539914E-10</v>
      </c>
      <c r="Y139" s="139">
        <f t="shared" si="5"/>
        <v>6.0904304184352482E-3</v>
      </c>
      <c r="AA139" s="73"/>
      <c r="AB139" s="176"/>
      <c r="AC139" s="176"/>
      <c r="AD139" s="176"/>
      <c r="AJ139" s="135"/>
    </row>
    <row r="140" spans="9:36" x14ac:dyDescent="0.35">
      <c r="I140" s="109">
        <v>3.2625286732500001E-2</v>
      </c>
      <c r="J140" s="49">
        <v>5.3603603968291766E-10</v>
      </c>
      <c r="K140" s="49">
        <v>5.7963762990450213E-11</v>
      </c>
      <c r="L140" s="152">
        <v>3.7867188655262516E-10</v>
      </c>
      <c r="R140" s="60">
        <v>1233.0202640157681</v>
      </c>
      <c r="S140" s="57">
        <v>1.0975154363897611E-6</v>
      </c>
      <c r="U140" s="127">
        <v>7.2427919358832544E-10</v>
      </c>
      <c r="V140" s="127">
        <v>3.7867188655262516E-10</v>
      </c>
      <c r="W140" s="127">
        <v>5.1283975758445045E-10</v>
      </c>
      <c r="X140" s="128">
        <f t="shared" si="4"/>
        <v>4.9861568106950655E-10</v>
      </c>
      <c r="Y140" s="139">
        <f t="shared" si="5"/>
        <v>0.41677604241996835</v>
      </c>
      <c r="AA140" s="73"/>
      <c r="AB140" s="176"/>
      <c r="AC140" s="176"/>
      <c r="AD140" s="176"/>
      <c r="AJ140" s="135"/>
    </row>
    <row r="141" spans="9:36" x14ac:dyDescent="0.35">
      <c r="I141" s="109">
        <v>3.29515395999E-2</v>
      </c>
      <c r="J141" s="49">
        <v>4.9534795684388964E-10</v>
      </c>
      <c r="K141" s="49">
        <v>5.806661233910389E-11</v>
      </c>
      <c r="L141" s="152">
        <v>3.6484633369351423E-10</v>
      </c>
      <c r="R141" s="60">
        <v>1233.0202640157681</v>
      </c>
      <c r="S141" s="57">
        <v>1.087914221974695E-6</v>
      </c>
      <c r="U141" s="127">
        <v>5.5418756877862239E-10</v>
      </c>
      <c r="V141" s="127">
        <v>3.6484633369351423E-10</v>
      </c>
      <c r="W141" s="127">
        <v>6.766756165105385E-10</v>
      </c>
      <c r="X141" s="128">
        <f t="shared" si="4"/>
        <v>4.9013896316904726E-10</v>
      </c>
      <c r="Y141" s="139">
        <f t="shared" si="5"/>
        <v>8.0473831791530517E-3</v>
      </c>
      <c r="AA141" s="73"/>
      <c r="AB141" s="176"/>
      <c r="AC141" s="176"/>
      <c r="AD141" s="176"/>
      <c r="AJ141" s="135"/>
    </row>
    <row r="142" spans="9:36" x14ac:dyDescent="0.35">
      <c r="I142" s="109">
        <v>3.3281054995899999E-2</v>
      </c>
      <c r="J142" s="49">
        <v>4.2453585822062317E-10</v>
      </c>
      <c r="K142" s="49">
        <v>5.7494684828770986E-11</v>
      </c>
      <c r="L142" s="152">
        <v>4.2666552842409828E-10</v>
      </c>
      <c r="R142" s="60">
        <v>1233.4748094703136</v>
      </c>
      <c r="S142" s="57">
        <v>1.087914221974695E-6</v>
      </c>
      <c r="U142" s="127">
        <v>4.2486396533876908E-10</v>
      </c>
      <c r="V142" s="127">
        <v>4.2666552842409828E-10</v>
      </c>
      <c r="W142" s="127">
        <v>8.7339960510175583E-10</v>
      </c>
      <c r="X142" s="128">
        <f t="shared" si="4"/>
        <v>5.3789865682218033E-10</v>
      </c>
      <c r="Y142" s="139">
        <f t="shared" si="5"/>
        <v>3.88763714011679</v>
      </c>
      <c r="AA142" s="73"/>
      <c r="AB142" s="176"/>
      <c r="AC142" s="176"/>
      <c r="AD142" s="176"/>
      <c r="AJ142" s="135"/>
    </row>
    <row r="143" spans="9:36" x14ac:dyDescent="0.35">
      <c r="I143" s="109">
        <v>3.3613865545800002E-2</v>
      </c>
      <c r="J143" s="49">
        <v>5.2008624493091825E-10</v>
      </c>
      <c r="K143" s="49">
        <v>6.7121756341537281E-11</v>
      </c>
      <c r="L143" s="152">
        <v>5.5732768888395006E-10</v>
      </c>
      <c r="R143" s="60">
        <v>1233.4748094703136</v>
      </c>
      <c r="S143" s="57">
        <v>1.0866142892089045E-6</v>
      </c>
      <c r="U143" s="127">
        <v>3.5696180843620525E-10</v>
      </c>
      <c r="V143" s="127">
        <v>5.5732768888395006E-10</v>
      </c>
      <c r="W143" s="127">
        <v>1.0716798897756193E-9</v>
      </c>
      <c r="X143" s="128">
        <f t="shared" si="4"/>
        <v>6.3582426899493118E-10</v>
      </c>
      <c r="Y143" s="139">
        <f t="shared" si="5"/>
        <v>2.9732094421042357</v>
      </c>
      <c r="AA143" s="73"/>
      <c r="AB143" s="176"/>
      <c r="AC143" s="176"/>
      <c r="AD143" s="176"/>
      <c r="AJ143" s="135"/>
    </row>
    <row r="144" spans="9:36" x14ac:dyDescent="0.35">
      <c r="I144" s="109">
        <v>3.3950004201300003E-2</v>
      </c>
      <c r="J144" s="49">
        <v>7.6842801278781138E-10</v>
      </c>
      <c r="K144" s="49">
        <v>7.9056498674012526E-11</v>
      </c>
      <c r="L144" s="152">
        <v>7.3865712918619184E-10</v>
      </c>
      <c r="O144" s="30"/>
      <c r="R144" s="60">
        <v>1233.9293549248591</v>
      </c>
      <c r="S144" s="57">
        <v>1.0866142892089045E-6</v>
      </c>
      <c r="U144" s="127">
        <v>3.6305908519826847E-10</v>
      </c>
      <c r="V144" s="127">
        <v>7.3865712918619184E-10</v>
      </c>
      <c r="W144" s="127">
        <v>1.2381684057349749E-9</v>
      </c>
      <c r="X144" s="128">
        <f t="shared" si="4"/>
        <v>7.6963543732640678E-10</v>
      </c>
      <c r="Y144" s="139">
        <f t="shared" si="5"/>
        <v>2.3326245581349364E-4</v>
      </c>
      <c r="AA144" s="73"/>
      <c r="AB144" s="176"/>
      <c r="AC144" s="176"/>
      <c r="AD144" s="176"/>
      <c r="AJ144" s="135"/>
    </row>
    <row r="145" spans="9:36" x14ac:dyDescent="0.35">
      <c r="I145" s="109">
        <v>3.4289504243299997E-2</v>
      </c>
      <c r="J145" s="49">
        <v>7.7912713216602042E-10</v>
      </c>
      <c r="K145" s="49">
        <v>7.7947392619099239E-11</v>
      </c>
      <c r="L145" s="152">
        <v>9.4322288740670092E-10</v>
      </c>
      <c r="R145" s="60">
        <v>1233.9293549248591</v>
      </c>
      <c r="S145" s="57">
        <v>1.0963417458657432E-6</v>
      </c>
      <c r="U145" s="127">
        <v>4.4510131310282571E-10</v>
      </c>
      <c r="V145" s="127">
        <v>9.4322288740670092E-10</v>
      </c>
      <c r="W145" s="127">
        <v>1.3430964207139727E-9</v>
      </c>
      <c r="X145" s="128">
        <f t="shared" si="4"/>
        <v>9.1866087715754996E-10</v>
      </c>
      <c r="Y145" s="139">
        <f t="shared" si="5"/>
        <v>3.2044634052423815</v>
      </c>
      <c r="AA145" s="73"/>
      <c r="AB145" s="176"/>
      <c r="AC145" s="176"/>
      <c r="AD145" s="176"/>
      <c r="AJ145" s="135"/>
    </row>
    <row r="146" spans="9:36" x14ac:dyDescent="0.35">
      <c r="I146" s="109">
        <v>3.46323992857E-2</v>
      </c>
      <c r="J146" s="49">
        <v>8.9594246014036077E-10</v>
      </c>
      <c r="K146" s="49">
        <v>8.6983241406534814E-11</v>
      </c>
      <c r="L146" s="152">
        <v>1.1382012017094279E-9</v>
      </c>
      <c r="R146" s="60">
        <v>1234.3839003794046</v>
      </c>
      <c r="S146" s="57">
        <v>1.0963417458657432E-6</v>
      </c>
      <c r="U146" s="127">
        <v>5.9328905943676753E-10</v>
      </c>
      <c r="V146" s="127">
        <v>1.1382012017094279E-9</v>
      </c>
      <c r="W146" s="127">
        <v>1.3657646198445067E-9</v>
      </c>
      <c r="X146" s="128">
        <f t="shared" si="4"/>
        <v>1.0588640206750324E-9</v>
      </c>
      <c r="Y146" s="139">
        <f t="shared" si="5"/>
        <v>3.5082129520569527</v>
      </c>
      <c r="AA146" s="73"/>
      <c r="AB146" s="176"/>
      <c r="AC146" s="176"/>
      <c r="AD146" s="176"/>
      <c r="AJ146" s="135"/>
    </row>
    <row r="147" spans="9:36" x14ac:dyDescent="0.35">
      <c r="I147" s="109">
        <v>3.49787232786E-2</v>
      </c>
      <c r="J147" s="49">
        <v>9.6236974724866801E-10</v>
      </c>
      <c r="K147" s="49">
        <v>8.8470682382896864E-11</v>
      </c>
      <c r="L147" s="152">
        <v>1.290513538478053E-9</v>
      </c>
      <c r="R147" s="60">
        <v>1234.3839003794046</v>
      </c>
      <c r="S147" s="57">
        <v>1.1204001666069333E-6</v>
      </c>
      <c r="U147" s="127">
        <v>7.8675478501887431E-10</v>
      </c>
      <c r="V147" s="127">
        <v>1.290513538478053E-9</v>
      </c>
      <c r="W147" s="127">
        <v>1.2989321247889519E-9</v>
      </c>
      <c r="X147" s="128">
        <f t="shared" si="4"/>
        <v>1.166678496690983E-9</v>
      </c>
      <c r="Y147" s="139">
        <f t="shared" si="5"/>
        <v>5.3330441245604021</v>
      </c>
      <c r="AA147" s="73"/>
      <c r="AB147" s="176"/>
      <c r="AC147" s="176"/>
      <c r="AD147" s="176"/>
      <c r="AJ147" s="135"/>
    </row>
    <row r="148" spans="9:36" x14ac:dyDescent="0.35">
      <c r="I148" s="109">
        <v>3.5328510511399999E-2</v>
      </c>
      <c r="J148" s="49">
        <v>1.0823829685972056E-9</v>
      </c>
      <c r="K148" s="49">
        <v>1.0143268531897125E-10</v>
      </c>
      <c r="L148" s="152">
        <v>1.3724915999665893E-9</v>
      </c>
      <c r="R148" s="60">
        <v>1234.8384458339501</v>
      </c>
      <c r="S148" s="57">
        <v>1.1204001666069333E-6</v>
      </c>
      <c r="U148" s="127">
        <v>9.9611670598018067E-10</v>
      </c>
      <c r="V148" s="127">
        <v>1.3724915999665893E-9</v>
      </c>
      <c r="W148" s="127">
        <v>1.1511758614655727E-9</v>
      </c>
      <c r="X148" s="128">
        <f t="shared" si="4"/>
        <v>1.2230689418447329E-9</v>
      </c>
      <c r="Y148" s="139">
        <f t="shared" si="5"/>
        <v>1.9237372409586451</v>
      </c>
      <c r="AA148" s="73"/>
      <c r="AB148" s="176"/>
      <c r="AC148" s="176"/>
      <c r="AD148" s="176"/>
      <c r="AJ148" s="135"/>
    </row>
    <row r="149" spans="9:36" x14ac:dyDescent="0.35">
      <c r="I149" s="109">
        <v>3.5681795616499999E-2</v>
      </c>
      <c r="J149" s="49">
        <v>1.0217805492678431E-9</v>
      </c>
      <c r="K149" s="49">
        <v>9.7008456886826458E-11</v>
      </c>
      <c r="L149" s="152">
        <v>1.3671321068351941E-9</v>
      </c>
      <c r="R149" s="60">
        <v>1234.8384458339501</v>
      </c>
      <c r="S149" s="57">
        <v>1.1624340626814443E-6</v>
      </c>
      <c r="U149" s="127">
        <v>1.1876898201067159E-9</v>
      </c>
      <c r="V149" s="127">
        <v>1.3671321068351941E-9</v>
      </c>
      <c r="W149" s="127">
        <v>9.4654056873615423E-10</v>
      </c>
      <c r="X149" s="128">
        <f t="shared" si="4"/>
        <v>1.2171236506283144E-9</v>
      </c>
      <c r="Y149" s="139">
        <f t="shared" si="5"/>
        <v>4.0548702723778698</v>
      </c>
      <c r="AA149" s="73"/>
      <c r="AB149" s="176"/>
      <c r="AC149" s="176"/>
      <c r="AD149" s="176"/>
      <c r="AJ149" s="135"/>
    </row>
    <row r="150" spans="9:36" x14ac:dyDescent="0.35">
      <c r="I150" s="109">
        <v>3.6038613572599999E-2</v>
      </c>
      <c r="J150" s="49">
        <v>1.2192554098441704E-9</v>
      </c>
      <c r="K150" s="49">
        <v>1.0700512887540818E-10</v>
      </c>
      <c r="L150" s="152">
        <v>1.2719535243307667E-9</v>
      </c>
      <c r="R150" s="60">
        <v>1235.2929912884956</v>
      </c>
      <c r="S150" s="57">
        <v>1.1624340626814443E-6</v>
      </c>
      <c r="U150" s="127">
        <v>1.3288226411052661E-9</v>
      </c>
      <c r="V150" s="127">
        <v>1.2719535243307667E-9</v>
      </c>
      <c r="W150" s="127">
        <v>7.2122003095359826E-10</v>
      </c>
      <c r="X150" s="128">
        <f t="shared" si="4"/>
        <v>1.1484874301800993E-9</v>
      </c>
      <c r="Y150" s="139">
        <f t="shared" si="5"/>
        <v>0.43738552440516593</v>
      </c>
      <c r="AA150" s="73"/>
      <c r="AB150" s="176"/>
      <c r="AC150" s="176"/>
      <c r="AD150" s="176"/>
      <c r="AJ150" s="135"/>
    </row>
    <row r="151" spans="9:36" x14ac:dyDescent="0.35">
      <c r="I151" s="109">
        <v>3.63989997084E-2</v>
      </c>
      <c r="J151" s="49">
        <v>8.7960074935357673E-10</v>
      </c>
      <c r="K151" s="49">
        <v>8.7489805538497768E-11</v>
      </c>
      <c r="L151" s="152">
        <v>1.1005866015691903E-9</v>
      </c>
      <c r="R151" s="60">
        <v>1235.2929912884956</v>
      </c>
      <c r="S151" s="57">
        <v>1.2259905270460306E-6</v>
      </c>
      <c r="U151" s="127">
        <v>1.3935653365564979E-9</v>
      </c>
      <c r="V151" s="127">
        <v>1.1005866015691903E-9</v>
      </c>
      <c r="W151" s="127">
        <v>5.1755500402342333E-10</v>
      </c>
      <c r="X151" s="128">
        <f t="shared" si="4"/>
        <v>1.0280733859295755E-9</v>
      </c>
      <c r="Y151" s="139">
        <f t="shared" si="5"/>
        <v>2.8799035231357606</v>
      </c>
      <c r="AA151" s="73"/>
      <c r="AB151" s="176"/>
      <c r="AC151" s="176"/>
      <c r="AD151" s="176"/>
      <c r="AJ151" s="135"/>
    </row>
    <row r="152" spans="9:36" x14ac:dyDescent="0.35">
      <c r="I152" s="109">
        <v>3.6762989705399998E-2</v>
      </c>
      <c r="J152" s="49">
        <v>8.3926574156965399E-10</v>
      </c>
      <c r="K152" s="49">
        <v>8.726022005073718E-11</v>
      </c>
      <c r="L152" s="152">
        <v>8.8177163642275002E-10</v>
      </c>
      <c r="R152" s="60">
        <v>1235.7475367430411</v>
      </c>
      <c r="S152" s="57">
        <v>1.2259905270460306E-6</v>
      </c>
      <c r="U152" s="127">
        <v>1.3680347533432729E-9</v>
      </c>
      <c r="V152" s="127">
        <v>8.8177163642275002E-10</v>
      </c>
      <c r="W152" s="127">
        <v>3.7611368733661238E-10</v>
      </c>
      <c r="X152" s="128">
        <f t="shared" si="4"/>
        <v>8.7692292838134633E-10</v>
      </c>
      <c r="Y152" s="139">
        <f t="shared" si="5"/>
        <v>0.18623578675772617</v>
      </c>
      <c r="AA152" s="73"/>
      <c r="AB152" s="176"/>
      <c r="AC152" s="176"/>
      <c r="AD152" s="176"/>
      <c r="AJ152" s="135"/>
    </row>
    <row r="153" spans="9:36" x14ac:dyDescent="0.35">
      <c r="I153" s="109">
        <v>3.7130619602499998E-2</v>
      </c>
      <c r="J153" s="49">
        <v>7.7929195477180127E-10</v>
      </c>
      <c r="K153" s="49">
        <v>8.5948373347545126E-11</v>
      </c>
      <c r="L153" s="152">
        <v>6.5409337170748885E-10</v>
      </c>
      <c r="R153" s="60">
        <v>1235.7475367430411</v>
      </c>
      <c r="S153" s="57">
        <v>1.3139042935515089E-6</v>
      </c>
      <c r="U153" s="127">
        <v>1.2525881494612049E-9</v>
      </c>
      <c r="V153" s="127">
        <v>6.5409337170748885E-10</v>
      </c>
      <c r="W153" s="127">
        <v>3.2773767456987392E-10</v>
      </c>
      <c r="X153" s="128">
        <f t="shared" si="4"/>
        <v>7.2212814186151409E-10</v>
      </c>
      <c r="Y153" s="139">
        <f t="shared" si="5"/>
        <v>0.44235104235339218</v>
      </c>
      <c r="AA153" s="73"/>
      <c r="AB153" s="176"/>
      <c r="AC153" s="176"/>
      <c r="AD153" s="176"/>
      <c r="AJ153" s="135"/>
    </row>
    <row r="154" spans="9:36" x14ac:dyDescent="0.35">
      <c r="I154" s="109">
        <v>3.7501925798500001E-2</v>
      </c>
      <c r="J154" s="49">
        <v>6.8994882494209107E-10</v>
      </c>
      <c r="K154" s="49">
        <v>8.3587735289575185E-11</v>
      </c>
      <c r="L154" s="152">
        <v>4.6108865658756087E-10</v>
      </c>
      <c r="R154" s="60">
        <v>1236.2020821975866</v>
      </c>
      <c r="S154" s="57">
        <v>1.3139042935515089E-6</v>
      </c>
      <c r="U154" s="127">
        <v>1.0646788595450074E-9</v>
      </c>
      <c r="V154" s="127">
        <v>4.6108865658756087E-10</v>
      </c>
      <c r="W154" s="127">
        <v>3.862460101051924E-10</v>
      </c>
      <c r="X154" s="128">
        <f t="shared" si="4"/>
        <v>5.932755457063304E-10</v>
      </c>
      <c r="Y154" s="139">
        <f t="shared" si="5"/>
        <v>1.3376046920956524</v>
      </c>
      <c r="AA154" s="73"/>
      <c r="AB154" s="176"/>
      <c r="AC154" s="176"/>
      <c r="AD154" s="176"/>
      <c r="AJ154" s="135"/>
    </row>
    <row r="155" spans="9:36" x14ac:dyDescent="0.35">
      <c r="I155" s="109">
        <v>3.7876945056500001E-2</v>
      </c>
      <c r="J155" s="49">
        <v>5.8311527326109005E-10</v>
      </c>
      <c r="K155" s="49">
        <v>7.7774419862238186E-11</v>
      </c>
      <c r="L155" s="152">
        <v>3.4185730844048005E-10</v>
      </c>
      <c r="R155" s="60">
        <v>1236.2020821975866</v>
      </c>
      <c r="S155" s="57">
        <v>1.4275976588473022E-6</v>
      </c>
      <c r="U155" s="127">
        <v>8.3586050516150714E-10</v>
      </c>
      <c r="V155" s="127">
        <v>3.4185730844048005E-10</v>
      </c>
      <c r="W155" s="127">
        <v>5.4425535218596478E-10</v>
      </c>
      <c r="X155" s="128">
        <f t="shared" si="4"/>
        <v>5.1595761855710801E-10</v>
      </c>
      <c r="Y155" s="139">
        <f t="shared" si="5"/>
        <v>0.74561988512619559</v>
      </c>
      <c r="AA155" s="73"/>
      <c r="AB155" s="176"/>
      <c r="AC155" s="176"/>
      <c r="AD155" s="176"/>
      <c r="AJ155" s="135"/>
    </row>
    <row r="156" spans="9:36" x14ac:dyDescent="0.35">
      <c r="I156" s="109">
        <v>3.8255714507099997E-2</v>
      </c>
      <c r="J156" s="49">
        <v>5.9687029421313741E-10</v>
      </c>
      <c r="K156" s="49">
        <v>7.9552476874822539E-11</v>
      </c>
      <c r="L156" s="152">
        <v>3.2325485665592001E-10</v>
      </c>
      <c r="R156" s="60">
        <v>1236.6566276521321</v>
      </c>
      <c r="S156" s="57">
        <v>1.4275976588473022E-6</v>
      </c>
      <c r="U156" s="127">
        <v>6.0727245812943797E-10</v>
      </c>
      <c r="V156" s="127">
        <v>3.2325485665592001E-10</v>
      </c>
      <c r="W156" s="127">
        <v>7.7310421363292233E-10</v>
      </c>
      <c r="X156" s="128">
        <f t="shared" si="4"/>
        <v>5.0672159626855008E-10</v>
      </c>
      <c r="Y156" s="139">
        <f t="shared" si="5"/>
        <v>1.2841374295753651</v>
      </c>
      <c r="AA156" s="73"/>
      <c r="AB156" s="176"/>
      <c r="AC156" s="176"/>
      <c r="AD156" s="176"/>
      <c r="AJ156" s="135"/>
    </row>
    <row r="157" spans="9:36" x14ac:dyDescent="0.35">
      <c r="I157" s="109">
        <v>3.8638271652100001E-2</v>
      </c>
      <c r="J157" s="49">
        <v>5.0611438179912868E-10</v>
      </c>
      <c r="K157" s="49">
        <v>7.5992438200022908E-11</v>
      </c>
      <c r="L157" s="152">
        <v>4.1346293109365045E-10</v>
      </c>
      <c r="R157" s="60">
        <v>1236.6566276521321</v>
      </c>
      <c r="S157" s="57">
        <v>1.5664461392835374E-6</v>
      </c>
      <c r="U157" s="127">
        <v>4.2253879703541069E-10</v>
      </c>
      <c r="V157" s="127">
        <v>4.1346293109365045E-10</v>
      </c>
      <c r="W157" s="127">
        <v>1.0273327061370325E-9</v>
      </c>
      <c r="X157" s="128">
        <f t="shared" si="4"/>
        <v>5.6919934133993604E-10</v>
      </c>
      <c r="Y157" s="139">
        <f t="shared" si="5"/>
        <v>0.68914546056766701</v>
      </c>
      <c r="AA157" s="73"/>
      <c r="AB157" s="176"/>
      <c r="AC157" s="176"/>
      <c r="AD157" s="176"/>
      <c r="AJ157" s="135"/>
    </row>
    <row r="158" spans="9:36" x14ac:dyDescent="0.35">
      <c r="I158" s="109">
        <v>3.90246543687E-2</v>
      </c>
      <c r="J158" s="49">
        <v>7.0798773560653049E-10</v>
      </c>
      <c r="K158" s="49">
        <v>8.7462791650654599E-11</v>
      </c>
      <c r="L158" s="152">
        <v>5.9881546253438146E-10</v>
      </c>
      <c r="R158" s="60">
        <v>1237.1111731066776</v>
      </c>
      <c r="S158" s="57">
        <v>1.5664461392835374E-6</v>
      </c>
      <c r="U158" s="127">
        <v>3.1945989940209206E-10</v>
      </c>
      <c r="V158" s="127">
        <v>5.9881546253438146E-10</v>
      </c>
      <c r="W158" s="127">
        <v>1.2532825616372585E-9</v>
      </c>
      <c r="X158" s="128">
        <f t="shared" si="4"/>
        <v>6.9259334652702845E-10</v>
      </c>
      <c r="Y158" s="139">
        <f t="shared" si="5"/>
        <v>3.0979774150028699E-2</v>
      </c>
      <c r="AA158" s="73"/>
      <c r="AB158" s="176"/>
      <c r="AC158" s="176"/>
      <c r="AD158" s="176"/>
      <c r="AJ158" s="135"/>
    </row>
    <row r="159" spans="9:36" x14ac:dyDescent="0.35">
      <c r="I159" s="109">
        <v>3.9414900912399999E-2</v>
      </c>
      <c r="J159" s="49">
        <v>8.4901257204401718E-10</v>
      </c>
      <c r="K159" s="49">
        <v>9.4945193471199484E-11</v>
      </c>
      <c r="L159" s="152">
        <v>8.4494417178194158E-10</v>
      </c>
      <c r="R159" s="60">
        <v>1237.1111731066776</v>
      </c>
      <c r="S159" s="57">
        <v>1.727387198213203E-6</v>
      </c>
      <c r="U159" s="127">
        <v>3.2203261572704481E-10</v>
      </c>
      <c r="V159" s="127">
        <v>8.4494417178194158E-10</v>
      </c>
      <c r="W159" s="127">
        <v>1.4003589734863428E-9</v>
      </c>
      <c r="X159" s="128">
        <f t="shared" si="4"/>
        <v>8.5306998319431773E-10</v>
      </c>
      <c r="Y159" s="139">
        <f t="shared" si="5"/>
        <v>1.8262156875552408E-3</v>
      </c>
      <c r="AA159" s="73"/>
      <c r="AB159" s="176"/>
      <c r="AC159" s="176"/>
      <c r="AD159" s="176"/>
      <c r="AJ159" s="135"/>
    </row>
    <row r="160" spans="9:36" x14ac:dyDescent="0.35">
      <c r="I160" s="109">
        <v>3.98090499215E-2</v>
      </c>
      <c r="J160" s="49">
        <v>8.9064348448824388E-10</v>
      </c>
      <c r="K160" s="49">
        <v>1.0331827861695257E-10</v>
      </c>
      <c r="L160" s="153">
        <v>1.1024970936111415E-9</v>
      </c>
      <c r="M160" s="32"/>
      <c r="R160" s="60">
        <v>1237.5657185612231</v>
      </c>
      <c r="S160" s="57">
        <v>1.727387198213203E-6</v>
      </c>
      <c r="U160" s="127">
        <v>4.3448677814699465E-10</v>
      </c>
      <c r="V160" s="127">
        <v>1.1024970936111415E-9</v>
      </c>
      <c r="W160" s="127">
        <v>1.4326941307281772E-9</v>
      </c>
      <c r="X160" s="128">
        <f t="shared" si="4"/>
        <v>1.0180437740243637E-9</v>
      </c>
      <c r="Y160" s="139">
        <f t="shared" si="5"/>
        <v>1.5205002868526305</v>
      </c>
      <c r="AA160" s="73"/>
      <c r="AB160" s="176"/>
      <c r="AC160" s="176"/>
      <c r="AD160" s="176"/>
      <c r="AJ160" s="135"/>
    </row>
    <row r="161" spans="1:36" x14ac:dyDescent="0.35">
      <c r="I161" s="109">
        <v>4.0207140420699998E-2</v>
      </c>
      <c r="J161" s="49">
        <v>9.6530573306025213E-10</v>
      </c>
      <c r="K161" s="49">
        <v>1.1128925383142556E-10</v>
      </c>
      <c r="L161" s="153">
        <v>1.3166971643922283E-9</v>
      </c>
      <c r="M161" s="32"/>
      <c r="R161" s="60">
        <v>1237.5657185612231</v>
      </c>
      <c r="S161" s="57">
        <v>1.9049228510912076E-6</v>
      </c>
      <c r="U161" s="127">
        <v>6.388325670259258E-10</v>
      </c>
      <c r="V161" s="127">
        <v>1.3166971643922283E-9</v>
      </c>
      <c r="W161" s="127">
        <v>1.3385563781250777E-9</v>
      </c>
      <c r="X161" s="128">
        <f t="shared" si="4"/>
        <v>1.1526958184838652E-9</v>
      </c>
      <c r="Y161" s="139">
        <f t="shared" si="5"/>
        <v>2.8352199570028267</v>
      </c>
      <c r="AA161" s="73"/>
      <c r="AB161" s="176"/>
      <c r="AC161" s="176"/>
      <c r="AD161" s="176"/>
      <c r="AJ161" s="135"/>
    </row>
    <row r="162" spans="1:36" x14ac:dyDescent="0.35">
      <c r="I162" s="109">
        <v>4.0609211824900002E-2</v>
      </c>
      <c r="J162" s="49">
        <v>1.0286790227209573E-9</v>
      </c>
      <c r="K162" s="49">
        <v>1.1398369995109285E-10</v>
      </c>
      <c r="L162" s="153">
        <v>1.4390439717885729E-9</v>
      </c>
      <c r="M162" s="32"/>
      <c r="R162" s="60">
        <v>1238.0202640157686</v>
      </c>
      <c r="S162" s="57">
        <v>1.9049228510912076E-6</v>
      </c>
      <c r="U162" s="127">
        <v>8.9685798100383872E-10</v>
      </c>
      <c r="V162" s="127">
        <v>1.4390439717885729E-9</v>
      </c>
      <c r="W162" s="127">
        <v>1.1350175791154698E-9</v>
      </c>
      <c r="X162" s="128">
        <f t="shared" si="4"/>
        <v>1.2274908759241135E-9</v>
      </c>
      <c r="Y162" s="139">
        <f t="shared" si="5"/>
        <v>3.0422790493650638</v>
      </c>
      <c r="AA162" s="73"/>
      <c r="AB162" s="176"/>
      <c r="AC162" s="176"/>
      <c r="AD162" s="176"/>
      <c r="AJ162" s="135"/>
    </row>
    <row r="163" spans="1:36" x14ac:dyDescent="0.35">
      <c r="I163" s="109">
        <v>4.1015303943099997E-2</v>
      </c>
      <c r="J163" s="49">
        <v>1.1176838468374896E-9</v>
      </c>
      <c r="K163" s="49">
        <v>1.1830784371086124E-10</v>
      </c>
      <c r="L163" s="153">
        <v>1.438745009290592E-9</v>
      </c>
      <c r="M163" s="32"/>
      <c r="R163" s="60">
        <v>1238.0202640157686</v>
      </c>
      <c r="S163" s="57">
        <v>2.0445234750626518E-6</v>
      </c>
      <c r="U163" s="127">
        <v>1.1566655391918202E-9</v>
      </c>
      <c r="V163" s="127">
        <v>1.438745009290592E-9</v>
      </c>
      <c r="W163" s="127">
        <v>8.6618511542284515E-10</v>
      </c>
      <c r="X163" s="128">
        <f t="shared" si="4"/>
        <v>1.2250851682989624E-9</v>
      </c>
      <c r="Y163" s="139">
        <f t="shared" si="5"/>
        <v>0.82412326033992422</v>
      </c>
      <c r="AA163" s="73"/>
      <c r="AB163" s="176"/>
      <c r="AC163" s="176"/>
      <c r="AD163" s="176"/>
      <c r="AJ163" s="135"/>
    </row>
    <row r="164" spans="1:36" x14ac:dyDescent="0.35">
      <c r="I164" s="109">
        <v>4.1425456982600001E-2</v>
      </c>
      <c r="J164" s="49">
        <v>9.3395718855961948E-10</v>
      </c>
      <c r="K164" s="49">
        <v>1.12321186441377E-10</v>
      </c>
      <c r="L164" s="153">
        <v>1.3111975190572975E-9</v>
      </c>
      <c r="M164" s="32"/>
      <c r="R164" s="60">
        <v>1238.2475367430413</v>
      </c>
      <c r="S164" s="57">
        <v>2.0445234750626518E-6</v>
      </c>
      <c r="U164" s="127">
        <v>1.3628404041100191E-9</v>
      </c>
      <c r="V164" s="127">
        <v>1.3111975190572975E-9</v>
      </c>
      <c r="W164" s="127">
        <v>5.9464929035354377E-10</v>
      </c>
      <c r="X164" s="128">
        <f t="shared" si="4"/>
        <v>1.1449711831445394E-9</v>
      </c>
      <c r="Y164" s="139">
        <f t="shared" si="5"/>
        <v>3.5293859575477824</v>
      </c>
      <c r="AA164" s="73"/>
      <c r="AB164" s="176"/>
      <c r="AC164" s="176"/>
      <c r="AD164" s="176"/>
      <c r="AJ164" s="135"/>
    </row>
    <row r="165" spans="1:36" x14ac:dyDescent="0.35">
      <c r="I165" s="109">
        <v>4.1839711552400002E-2</v>
      </c>
      <c r="J165" s="49">
        <v>8.386082261657107E-10</v>
      </c>
      <c r="K165" s="49">
        <v>1.0945527927330176E-10</v>
      </c>
      <c r="L165" s="153">
        <v>1.0811669807088817E-9</v>
      </c>
      <c r="M165" s="32"/>
      <c r="R165" s="60">
        <v>1238.2475367430413</v>
      </c>
      <c r="S165" s="57">
        <v>2.1411167493014851E-6</v>
      </c>
      <c r="U165" s="127">
        <v>1.4684033409443017E-9</v>
      </c>
      <c r="V165" s="127">
        <v>1.0811669807088817E-9</v>
      </c>
      <c r="W165" s="127">
        <v>3.8746033521231712E-10</v>
      </c>
      <c r="X165" s="128">
        <f t="shared" si="4"/>
        <v>1.0045494093935954E-9</v>
      </c>
      <c r="Y165" s="139">
        <f t="shared" si="5"/>
        <v>2.2984493515596678</v>
      </c>
      <c r="AA165" s="73"/>
      <c r="AB165" s="176"/>
      <c r="AC165" s="176"/>
      <c r="AD165" s="176"/>
      <c r="AJ165" s="135"/>
    </row>
    <row r="166" spans="1:36" x14ac:dyDescent="0.35">
      <c r="I166" s="109">
        <v>4.2258108667900002E-2</v>
      </c>
      <c r="J166" s="49">
        <v>9.8277120729063538E-10</v>
      </c>
      <c r="K166" s="49">
        <v>1.1876448716026859E-10</v>
      </c>
      <c r="L166" s="153">
        <v>7.9925389295482312E-10</v>
      </c>
      <c r="M166" s="32"/>
      <c r="R166" s="60">
        <v>1238.5218675417707</v>
      </c>
      <c r="S166" s="57">
        <v>2.1411167493014851E-6</v>
      </c>
      <c r="U166" s="127">
        <v>1.4460449802332974E-9</v>
      </c>
      <c r="V166" s="127">
        <v>7.9925389295482312E-10</v>
      </c>
      <c r="W166" s="127">
        <v>2.9955684992331051E-10</v>
      </c>
      <c r="X166" s="128">
        <f t="shared" si="4"/>
        <v>8.360274040165635E-10</v>
      </c>
      <c r="Y166" s="139">
        <f t="shared" si="5"/>
        <v>1.5266741292241435</v>
      </c>
      <c r="AA166" s="73"/>
      <c r="AB166" s="176"/>
      <c r="AC166" s="176"/>
      <c r="AD166" s="176"/>
      <c r="AJ166" s="135"/>
    </row>
    <row r="167" spans="1:36" x14ac:dyDescent="0.35">
      <c r="I167" s="109">
        <v>4.2680689754600001E-2</v>
      </c>
      <c r="J167" s="49">
        <v>8.1954601239720192E-10</v>
      </c>
      <c r="K167" s="49">
        <v>1.1217730172290256E-10</v>
      </c>
      <c r="L167" s="153">
        <v>5.3169412089789959E-10</v>
      </c>
      <c r="M167" s="32"/>
      <c r="R167" s="60">
        <v>1238.5218675417707</v>
      </c>
      <c r="S167" s="57">
        <v>2.255607043348213E-6</v>
      </c>
      <c r="U167" s="127">
        <v>1.2959600308252941E-9</v>
      </c>
      <c r="V167" s="127">
        <v>5.3169412089789959E-10</v>
      </c>
      <c r="W167" s="127">
        <v>3.5866653674025311E-10</v>
      </c>
      <c r="X167" s="128">
        <f t="shared" si="4"/>
        <v>6.7950370234033665E-10</v>
      </c>
      <c r="Y167" s="139">
        <f t="shared" si="5"/>
        <v>1.5585062678103156</v>
      </c>
      <c r="AA167" s="73"/>
      <c r="AB167" s="176"/>
      <c r="AC167" s="176"/>
      <c r="AD167" s="176"/>
      <c r="AJ167" s="135"/>
    </row>
    <row r="168" spans="1:36" x14ac:dyDescent="0.35">
      <c r="I168" s="109">
        <v>4.3107496652199997E-2</v>
      </c>
      <c r="J168" s="49">
        <v>7.9858262214923054E-10</v>
      </c>
      <c r="K168" s="49">
        <v>1.1254522901888263E-10</v>
      </c>
      <c r="L168" s="153">
        <v>3.4523024715035662E-10</v>
      </c>
      <c r="M168" s="32"/>
      <c r="R168" s="60">
        <v>1238.800885367403</v>
      </c>
      <c r="S168" s="57">
        <v>2.255607043348213E-6</v>
      </c>
      <c r="U168" s="127">
        <v>1.04802645761757E-9</v>
      </c>
      <c r="V168" s="127">
        <v>3.4523024715035662E-10</v>
      </c>
      <c r="W168" s="127">
        <v>5.558789597623549E-10</v>
      </c>
      <c r="X168" s="128">
        <f t="shared" si="4"/>
        <v>5.7359147792015956E-10</v>
      </c>
      <c r="Y168" s="139">
        <f t="shared" si="5"/>
        <v>3.996471040129427</v>
      </c>
      <c r="AA168" s="73"/>
      <c r="AB168" s="176"/>
      <c r="AC168" s="176"/>
      <c r="AD168" s="176"/>
      <c r="AJ168" s="135"/>
    </row>
    <row r="169" spans="1:36" x14ac:dyDescent="0.35">
      <c r="I169" s="109">
        <v>4.3538571618699999E-2</v>
      </c>
      <c r="J169" s="49">
        <v>5.0088722017244662E-10</v>
      </c>
      <c r="K169" s="49">
        <v>9.0559026921306815E-11</v>
      </c>
      <c r="L169" s="153">
        <v>2.9032112635036696E-10</v>
      </c>
      <c r="M169" s="32"/>
      <c r="R169" s="60">
        <v>1238.800885367403</v>
      </c>
      <c r="S169" s="57">
        <v>2.3700749442513368E-6</v>
      </c>
      <c r="U169" s="127">
        <v>7.5711531272042194E-10</v>
      </c>
      <c r="V169" s="127">
        <v>2.9032112635036696E-10</v>
      </c>
      <c r="W169" s="127">
        <v>8.4512294634771758E-10</v>
      </c>
      <c r="X169" s="128">
        <f t="shared" si="4"/>
        <v>5.4572012794221836E-10</v>
      </c>
      <c r="Y169" s="139">
        <f t="shared" si="5"/>
        <v>0.2450926682659505</v>
      </c>
      <c r="AA169" s="73"/>
      <c r="AB169" s="176"/>
      <c r="AC169" s="176"/>
      <c r="AD169" s="176"/>
      <c r="AJ169" s="135"/>
    </row>
    <row r="170" spans="1:36" x14ac:dyDescent="0.35">
      <c r="I170" s="109">
        <v>4.3973957334899998E-2</v>
      </c>
      <c r="J170" s="49">
        <v>6.7444092212903816E-10</v>
      </c>
      <c r="K170" s="49">
        <v>1.0891181621769855E-10</v>
      </c>
      <c r="L170" s="153">
        <v>3.8687093697256919E-10</v>
      </c>
      <c r="M170" s="32"/>
      <c r="R170" s="60">
        <v>1239.0897808502727</v>
      </c>
      <c r="S170" s="57">
        <v>2.3700749442513368E-6</v>
      </c>
      <c r="U170" s="127">
        <v>4.918346993679487E-10</v>
      </c>
      <c r="V170" s="127">
        <v>3.8687093697256919E-10</v>
      </c>
      <c r="W170" s="127">
        <v>1.1527445694574669E-9</v>
      </c>
      <c r="X170" s="128">
        <f t="shared" si="4"/>
        <v>6.0458028569263847E-10</v>
      </c>
      <c r="Y170" s="139">
        <f t="shared" si="5"/>
        <v>0.41144811285238653</v>
      </c>
      <c r="AA170" s="73"/>
      <c r="AB170" s="176"/>
      <c r="AC170" s="176"/>
      <c r="AD170" s="176"/>
      <c r="AJ170" s="135"/>
    </row>
    <row r="171" spans="1:36" x14ac:dyDescent="0.35">
      <c r="I171" s="109">
        <v>4.4413696908199997E-2</v>
      </c>
      <c r="J171" s="49">
        <v>4.6045215315875177E-10</v>
      </c>
      <c r="K171" s="49">
        <v>9.9754362556542796E-11</v>
      </c>
      <c r="L171" s="153">
        <v>6.1657889183568942E-10</v>
      </c>
      <c r="M171" s="32"/>
      <c r="R171" s="60">
        <v>1239.0897808502727</v>
      </c>
      <c r="S171" s="57">
        <v>2.4844458017234639E-6</v>
      </c>
      <c r="U171" s="127">
        <v>3.187133901627015E-10</v>
      </c>
      <c r="V171" s="127">
        <v>6.1657889183568942E-10</v>
      </c>
      <c r="W171" s="127">
        <v>1.3956894926463081E-9</v>
      </c>
      <c r="X171" s="128">
        <f t="shared" si="4"/>
        <v>7.3689016662009706E-10</v>
      </c>
      <c r="Y171" s="139">
        <f t="shared" si="5"/>
        <v>7.6794785419194982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8.2458320366168119E-10</v>
      </c>
      <c r="K172" s="49">
        <v>5.5739941050519472E-11</v>
      </c>
      <c r="L172" s="153">
        <v>9.2477314247593069E-10</v>
      </c>
      <c r="M172" s="32"/>
      <c r="N172" s="18"/>
      <c r="O172" s="18"/>
      <c r="P172" s="30"/>
      <c r="Q172" s="65"/>
      <c r="R172" s="62">
        <v>1239.3948967099391</v>
      </c>
      <c r="S172" s="61">
        <v>2.4844458017234639E-6</v>
      </c>
      <c r="T172" s="75"/>
      <c r="U172" s="127">
        <v>2.8530114039525492E-10</v>
      </c>
      <c r="V172" s="127">
        <v>9.2477314247593069E-10</v>
      </c>
      <c r="W172" s="127">
        <v>1.504126742891105E-9</v>
      </c>
      <c r="X172" s="128">
        <f t="shared" si="4"/>
        <v>9.0974354205955529E-10</v>
      </c>
      <c r="Y172" s="139">
        <f t="shared" si="5"/>
        <v>2.3342197904453594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4.5306412216100003E-2</v>
      </c>
      <c r="J173" s="49">
        <v>9.0107134514262234E-10</v>
      </c>
      <c r="K173" s="49">
        <v>5.6336271022963906E-11</v>
      </c>
      <c r="L173" s="153">
        <v>1.2323499233693015E-9</v>
      </c>
      <c r="M173" s="32"/>
      <c r="R173" s="60">
        <v>1239.3948967099391</v>
      </c>
      <c r="S173" s="57">
        <v>2.5985365078718796E-6</v>
      </c>
      <c r="U173" s="127">
        <v>4.0645401144639432E-10</v>
      </c>
      <c r="V173" s="127">
        <v>1.2323499233693015E-9</v>
      </c>
      <c r="W173" s="127">
        <v>1.4424959947264052E-9</v>
      </c>
      <c r="X173" s="128">
        <f t="shared" si="4"/>
        <v>1.0784124632278507E-9</v>
      </c>
      <c r="Y173" s="139">
        <f t="shared" si="5"/>
        <v>9.9092934676357931</v>
      </c>
      <c r="AA173" s="73"/>
      <c r="AB173" s="176"/>
      <c r="AC173" s="176"/>
      <c r="AD173" s="176"/>
      <c r="AJ173" s="135"/>
    </row>
    <row r="174" spans="1:36" x14ac:dyDescent="0.35">
      <c r="I174" s="109">
        <v>4.5759476338200003E-2</v>
      </c>
      <c r="J174" s="49">
        <v>1.0233965537518515E-9</v>
      </c>
      <c r="K174" s="49">
        <v>6.1448960416529485E-11</v>
      </c>
      <c r="L174" s="153">
        <v>1.4556732763214423E-9</v>
      </c>
      <c r="M174" s="32"/>
      <c r="R174" s="60">
        <v>1239.7247515596266</v>
      </c>
      <c r="S174" s="57">
        <v>2.5985365078718796E-6</v>
      </c>
      <c r="U174" s="127">
        <v>6.5782938165255427E-10</v>
      </c>
      <c r="V174" s="127">
        <v>1.4556732763214423E-9</v>
      </c>
      <c r="W174" s="127">
        <v>1.2225995946031318E-9</v>
      </c>
      <c r="X174" s="128">
        <f t="shared" si="4"/>
        <v>1.1979438822246427E-9</v>
      </c>
      <c r="Y174" s="139">
        <f t="shared" si="5"/>
        <v>8.0685841418172384</v>
      </c>
      <c r="AA174" s="73"/>
      <c r="AB174" s="176"/>
      <c r="AC174" s="176"/>
      <c r="AD174" s="176"/>
      <c r="AJ174" s="135"/>
    </row>
    <row r="175" spans="1:36" x14ac:dyDescent="0.35">
      <c r="I175" s="109">
        <v>4.6217071101599998E-2</v>
      </c>
      <c r="J175" s="49">
        <v>1.0374457332676887E-9</v>
      </c>
      <c r="K175" s="49">
        <v>6.1606101861575893E-11</v>
      </c>
      <c r="L175" s="153">
        <v>1.5297216102024947E-9</v>
      </c>
      <c r="M175" s="32"/>
      <c r="R175" s="60">
        <v>1239.7247515596266</v>
      </c>
      <c r="S175" s="57">
        <v>2.711966410663156E-6</v>
      </c>
      <c r="U175" s="127">
        <v>9.7921339351991508E-10</v>
      </c>
      <c r="V175" s="127">
        <v>1.5297216102024947E-9</v>
      </c>
      <c r="W175" s="127">
        <v>9.0386166473238866E-10</v>
      </c>
      <c r="X175" s="128">
        <f t="shared" si="4"/>
        <v>1.2356295696643232E-9</v>
      </c>
      <c r="Y175" s="139">
        <f t="shared" si="5"/>
        <v>10.348776389802897</v>
      </c>
      <c r="AA175" s="73"/>
      <c r="AB175" s="176"/>
      <c r="AC175" s="176"/>
      <c r="AD175" s="176"/>
      <c r="AJ175" s="135"/>
    </row>
    <row r="176" spans="1:36" x14ac:dyDescent="0.35">
      <c r="I176" s="109">
        <v>4.6679241812599997E-2</v>
      </c>
      <c r="J176" s="49">
        <v>1.101046845853142E-9</v>
      </c>
      <c r="K176" s="49">
        <v>6.4526067712597958E-11</v>
      </c>
      <c r="L176" s="153">
        <v>1.428179167631348E-9</v>
      </c>
      <c r="M176" s="32"/>
      <c r="R176" s="60">
        <v>1240.0919329688832</v>
      </c>
      <c r="S176" s="57">
        <v>2.711966410663156E-6</v>
      </c>
      <c r="U176" s="127">
        <v>1.2879412315684675E-9</v>
      </c>
      <c r="V176" s="127">
        <v>1.428179167631348E-9</v>
      </c>
      <c r="W176" s="127">
        <v>5.7912207083189025E-10</v>
      </c>
      <c r="X176" s="128">
        <f t="shared" si="4"/>
        <v>1.1808554094157634E-9</v>
      </c>
      <c r="Y176" s="139">
        <f t="shared" si="5"/>
        <v>1.5297786282997561</v>
      </c>
      <c r="AA176" s="73"/>
      <c r="AB176" s="176"/>
      <c r="AC176" s="176"/>
      <c r="AD176" s="176"/>
      <c r="AJ176" s="135"/>
    </row>
    <row r="177" spans="9:36" x14ac:dyDescent="0.35">
      <c r="I177" s="109">
        <v>4.71460342308E-2</v>
      </c>
      <c r="J177" s="49">
        <v>9.6372097882024531E-10</v>
      </c>
      <c r="K177" s="49">
        <v>5.9447689854870473E-11</v>
      </c>
      <c r="L177" s="152">
        <v>1.1741983933867465E-9</v>
      </c>
      <c r="M177" s="33"/>
      <c r="R177" s="60">
        <v>1240.0919329688832</v>
      </c>
      <c r="S177" s="57">
        <v>2.8239927137034601E-6</v>
      </c>
      <c r="U177" s="127">
        <v>1.499867510744731E-9</v>
      </c>
      <c r="V177" s="127">
        <v>1.1741983933867465E-9</v>
      </c>
      <c r="W177" s="127">
        <v>3.486355929256322E-10</v>
      </c>
      <c r="X177" s="128">
        <f t="shared" si="4"/>
        <v>1.049224972610964E-9</v>
      </c>
      <c r="Y177" s="139">
        <f t="shared" si="5"/>
        <v>2.0687253490204371</v>
      </c>
      <c r="AA177" s="73"/>
      <c r="AB177" s="176"/>
      <c r="AC177" s="176"/>
      <c r="AD177" s="176"/>
      <c r="AJ177" s="135"/>
    </row>
    <row r="178" spans="9:36" x14ac:dyDescent="0.35">
      <c r="I178" s="109">
        <v>4.7617494573100001E-2</v>
      </c>
      <c r="J178" s="49">
        <v>7.0974042295342096E-10</v>
      </c>
      <c r="K178" s="49">
        <v>4.9658788118715169E-11</v>
      </c>
      <c r="L178" s="152">
        <v>8.3748147013408589E-10</v>
      </c>
      <c r="M178" s="33"/>
      <c r="R178" s="60">
        <v>1240.5171547969019</v>
      </c>
      <c r="S178" s="57">
        <v>2.8239927137034601E-6</v>
      </c>
      <c r="U178" s="127">
        <v>1.5528405844482472E-9</v>
      </c>
      <c r="V178" s="127">
        <v>8.3748147013408589E-10</v>
      </c>
      <c r="W178" s="127">
        <v>2.8911521061535744E-10</v>
      </c>
      <c r="X178" s="128">
        <f t="shared" si="4"/>
        <v>8.7922968383294412E-10</v>
      </c>
      <c r="Y178" s="139">
        <f t="shared" si="5"/>
        <v>11.649093687442871</v>
      </c>
      <c r="AA178" s="73"/>
      <c r="AB178" s="176"/>
      <c r="AC178" s="176"/>
      <c r="AD178" s="176"/>
      <c r="AJ178" s="135"/>
    </row>
    <row r="179" spans="9:36" x14ac:dyDescent="0.35">
      <c r="I179" s="109">
        <v>4.8093669518800002E-2</v>
      </c>
      <c r="J179" s="49">
        <v>6.7859303001777E-10</v>
      </c>
      <c r="K179" s="49">
        <v>4.9814629051014455E-11</v>
      </c>
      <c r="L179" s="152">
        <v>5.1690822023544182E-10</v>
      </c>
      <c r="M179" s="33"/>
      <c r="R179" s="60">
        <v>1240.5171547969019</v>
      </c>
      <c r="S179" s="57">
        <v>2.9331773360899732E-6</v>
      </c>
      <c r="U179" s="127">
        <v>1.4262120561231261E-9</v>
      </c>
      <c r="V179" s="127">
        <v>5.1690822023544182E-10</v>
      </c>
      <c r="W179" s="127">
        <v>4.272673568951119E-10</v>
      </c>
      <c r="X179" s="128">
        <f t="shared" si="4"/>
        <v>7.2182396337228038E-10</v>
      </c>
      <c r="Y179" s="139">
        <f t="shared" si="5"/>
        <v>0.7531394949277409</v>
      </c>
      <c r="AA179" s="73"/>
      <c r="AB179" s="176"/>
      <c r="AC179" s="176"/>
      <c r="AD179" s="176"/>
      <c r="AJ179" s="135"/>
    </row>
    <row r="180" spans="9:36" x14ac:dyDescent="0.35">
      <c r="I180" s="109">
        <v>4.8574606213999998E-2</v>
      </c>
      <c r="J180" s="49">
        <v>6.6463705275554178E-10</v>
      </c>
      <c r="K180" s="49">
        <v>5.0277772917207693E-11</v>
      </c>
      <c r="L180" s="152">
        <v>3.1236210957147984E-10</v>
      </c>
      <c r="M180" s="33"/>
      <c r="R180" s="60">
        <v>1241.0396775067686</v>
      </c>
      <c r="S180" s="57">
        <v>2.9331773360899732E-6</v>
      </c>
      <c r="U180" s="127">
        <v>1.1501772149583309E-9</v>
      </c>
      <c r="V180" s="127">
        <v>3.1236210957147984E-10</v>
      </c>
      <c r="W180" s="127">
        <v>7.2711378313944994E-10</v>
      </c>
      <c r="X180" s="128">
        <f t="shared" si="4"/>
        <v>6.2550380431018519E-10</v>
      </c>
      <c r="Y180" s="139">
        <f t="shared" si="5"/>
        <v>0.60581460067063819</v>
      </c>
      <c r="AA180" s="73"/>
      <c r="AB180" s="176"/>
      <c r="AC180" s="176"/>
      <c r="AD180" s="176"/>
      <c r="AJ180" s="135"/>
    </row>
    <row r="181" spans="9:36" x14ac:dyDescent="0.35">
      <c r="I181" s="109">
        <v>4.9060352276099999E-2</v>
      </c>
      <c r="J181" s="49">
        <v>7.6112002587473043E-10</v>
      </c>
      <c r="K181" s="49">
        <v>5.2595313498759123E-11</v>
      </c>
      <c r="L181" s="152">
        <v>2.9339977573248939E-10</v>
      </c>
      <c r="M181" s="33"/>
      <c r="R181" s="60">
        <v>1241.0396775067686</v>
      </c>
      <c r="S181" s="57">
        <v>3.0366355283788469E-6</v>
      </c>
      <c r="U181" s="127">
        <v>8.0091729302111277E-10</v>
      </c>
      <c r="V181" s="127">
        <v>2.9339977573248939E-10</v>
      </c>
      <c r="W181" s="127">
        <v>1.0970140864513091E-9</v>
      </c>
      <c r="X181" s="128">
        <f t="shared" si="4"/>
        <v>6.2118273273435013E-10</v>
      </c>
      <c r="Y181" s="139">
        <f t="shared" si="5"/>
        <v>7.0790151482365342</v>
      </c>
      <c r="AA181" s="73"/>
      <c r="AB181" s="176"/>
      <c r="AC181" s="176"/>
      <c r="AD181" s="176"/>
      <c r="AJ181" s="135"/>
    </row>
    <row r="182" spans="9:36" x14ac:dyDescent="0.35">
      <c r="I182" s="109">
        <v>4.9550955798900002E-2</v>
      </c>
      <c r="J182" s="49">
        <v>7.6406017359226009E-10</v>
      </c>
      <c r="K182" s="49">
        <v>5.3815203679827173E-11</v>
      </c>
      <c r="L182" s="152">
        <v>4.7454558169809192E-10</v>
      </c>
      <c r="M182" s="33"/>
      <c r="R182" s="60">
        <v>1241.7528546947922</v>
      </c>
      <c r="S182" s="57">
        <v>3.0366355283788469E-6</v>
      </c>
      <c r="U182" s="127">
        <v>4.8129020080978714E-10</v>
      </c>
      <c r="V182" s="127">
        <v>4.7454558169809192E-10</v>
      </c>
      <c r="W182" s="127">
        <v>1.4163174613623441E-9</v>
      </c>
      <c r="X182" s="128">
        <f t="shared" si="4"/>
        <v>7.1167470639207885E-10</v>
      </c>
      <c r="Y182" s="139">
        <f t="shared" si="5"/>
        <v>0.94757079385775222</v>
      </c>
      <c r="AA182" s="73"/>
      <c r="AB182" s="176"/>
      <c r="AC182" s="176"/>
      <c r="AD182" s="176"/>
      <c r="AJ182" s="135"/>
    </row>
    <row r="183" spans="9:36" x14ac:dyDescent="0.35">
      <c r="I183" s="109">
        <v>5.0046465356900001E-2</v>
      </c>
      <c r="J183" s="49">
        <v>8.092014588131581E-10</v>
      </c>
      <c r="K183" s="49">
        <v>5.8957241643738409E-11</v>
      </c>
      <c r="L183" s="152">
        <v>8.0617677981117083E-10</v>
      </c>
      <c r="M183" s="33"/>
      <c r="R183" s="60">
        <v>1241.7528546947922</v>
      </c>
      <c r="S183" s="57">
        <v>3.1280658500650879E-6</v>
      </c>
      <c r="U183" s="127">
        <v>2.9130865075114207E-10</v>
      </c>
      <c r="V183" s="127">
        <v>8.0617677981117083E-10</v>
      </c>
      <c r="W183" s="127">
        <v>1.5746793891888484E-9</v>
      </c>
      <c r="X183" s="128">
        <f t="shared" si="4"/>
        <v>8.6958539989058311E-10</v>
      </c>
      <c r="Y183" s="139">
        <f t="shared" si="5"/>
        <v>1.0489833533680517</v>
      </c>
      <c r="AA183" s="73"/>
      <c r="AB183" s="176"/>
      <c r="AC183" s="176"/>
      <c r="AD183" s="176"/>
      <c r="AJ183" s="135"/>
    </row>
    <row r="184" spans="9:36" x14ac:dyDescent="0.35">
      <c r="I184" s="109">
        <v>5.0546930010399997E-2</v>
      </c>
      <c r="J184" s="49">
        <v>8.8711038250347979E-10</v>
      </c>
      <c r="K184" s="49">
        <v>5.9638156487255207E-11</v>
      </c>
      <c r="L184" s="152">
        <v>1.1859320053056135E-9</v>
      </c>
      <c r="M184" s="33"/>
      <c r="R184" s="60">
        <v>1243.0344435701661</v>
      </c>
      <c r="S184" s="57">
        <v>3.1280658500650879E-6</v>
      </c>
      <c r="U184" s="127">
        <v>2.9652963566346129E-10</v>
      </c>
      <c r="V184" s="127">
        <v>1.1859320053056135E-9</v>
      </c>
      <c r="W184" s="127">
        <v>1.5116164183216642E-9</v>
      </c>
      <c r="X184" s="128">
        <f t="shared" si="4"/>
        <v>1.045002516149088E-9</v>
      </c>
      <c r="Y184" s="139">
        <f t="shared" si="5"/>
        <v>7.0092664022281586</v>
      </c>
      <c r="AA184" s="73"/>
      <c r="AB184" s="176"/>
      <c r="AC184" s="176"/>
      <c r="AD184" s="176"/>
      <c r="AJ184" s="135"/>
    </row>
    <row r="185" spans="9:36" x14ac:dyDescent="0.35">
      <c r="I185" s="109">
        <v>5.1052399310499999E-2</v>
      </c>
      <c r="J185" s="49">
        <v>8.6641755214003261E-10</v>
      </c>
      <c r="K185" s="49">
        <v>5.8255470749875889E-11</v>
      </c>
      <c r="L185" s="152">
        <v>1.4891801791351967E-9</v>
      </c>
      <c r="M185" s="33"/>
      <c r="R185" s="60">
        <v>1243.0344435701661</v>
      </c>
      <c r="S185" s="57">
        <v>3.1912672545492482E-6</v>
      </c>
      <c r="U185" s="127">
        <v>5.0433474125823144E-10</v>
      </c>
      <c r="V185" s="127">
        <v>1.4891801791351967E-9</v>
      </c>
      <c r="W185" s="127">
        <v>1.2420745744209558E-9</v>
      </c>
      <c r="X185" s="128">
        <f t="shared" si="4"/>
        <v>1.1811924184873952E-9</v>
      </c>
      <c r="Y185" s="139">
        <f t="shared" si="5"/>
        <v>29.196222474779706</v>
      </c>
      <c r="AA185" s="73"/>
      <c r="AB185" s="176"/>
      <c r="AC185" s="176"/>
      <c r="AD185" s="176"/>
      <c r="AJ185" s="135"/>
    </row>
    <row r="186" spans="9:36" x14ac:dyDescent="0.35">
      <c r="I186" s="109">
        <v>5.1562923303600003E-2</v>
      </c>
      <c r="J186" s="49">
        <v>9.7395685276687577E-10</v>
      </c>
      <c r="K186" s="49">
        <v>6.3977968584827238E-11</v>
      </c>
      <c r="L186" s="152">
        <v>1.6102077466647431E-9</v>
      </c>
      <c r="M186" s="33"/>
      <c r="R186" s="60">
        <v>1244.7555251582403</v>
      </c>
      <c r="S186" s="57">
        <v>3.1912672545492482E-6</v>
      </c>
      <c r="U186" s="127">
        <v>8.5687917211370141E-10</v>
      </c>
      <c r="V186" s="127">
        <v>1.6102077466647431E-9</v>
      </c>
      <c r="W186" s="127">
        <v>8.5695765922747175E-10</v>
      </c>
      <c r="X186" s="128">
        <f t="shared" si="4"/>
        <v>1.2335630811676648E-9</v>
      </c>
      <c r="Y186" s="139">
        <f t="shared" si="5"/>
        <v>16.465287668907479</v>
      </c>
      <c r="AA186" s="73"/>
      <c r="AB186" s="176"/>
      <c r="AC186" s="176"/>
      <c r="AD186" s="176"/>
      <c r="AJ186" s="135"/>
    </row>
    <row r="187" spans="9:36" x14ac:dyDescent="0.35">
      <c r="I187" s="109">
        <v>5.2078552536699997E-2</v>
      </c>
      <c r="J187" s="49">
        <v>1.0931077437044056E-9</v>
      </c>
      <c r="K187" s="49">
        <v>6.6860801820590832E-11</v>
      </c>
      <c r="L187" s="152">
        <v>1.5008186129235253E-9</v>
      </c>
      <c r="M187" s="33"/>
      <c r="R187" s="60">
        <v>1244.7555251582403</v>
      </c>
      <c r="S187" s="57">
        <v>3.1999999999999999E-6</v>
      </c>
      <c r="U187" s="127">
        <v>1.2450791267984289E-9</v>
      </c>
      <c r="V187" s="127">
        <v>1.5008186129235253E-9</v>
      </c>
      <c r="W187" s="127">
        <v>4.9540741398985294E-10</v>
      </c>
      <c r="X187" s="128">
        <f t="shared" si="4"/>
        <v>1.1855309416588332E-9</v>
      </c>
      <c r="Y187" s="139">
        <f t="shared" si="5"/>
        <v>1.910815792952512</v>
      </c>
      <c r="AA187" s="73"/>
      <c r="AB187" s="176"/>
      <c r="AC187" s="176"/>
      <c r="AD187" s="176"/>
      <c r="AJ187" s="135"/>
    </row>
    <row r="188" spans="9:36" x14ac:dyDescent="0.35">
      <c r="I188" s="109">
        <v>5.2599338062100001E-2</v>
      </c>
      <c r="J188" s="49">
        <v>9.4242046699478683E-10</v>
      </c>
      <c r="K188" s="49">
        <v>6.5367852220060639E-11</v>
      </c>
      <c r="L188" s="152">
        <v>1.1921317026408796E-9</v>
      </c>
      <c r="M188" s="33"/>
      <c r="R188" s="60">
        <v>1253.7680221188941</v>
      </c>
      <c r="S188" s="57">
        <v>3.1999999999999999E-6</v>
      </c>
      <c r="U188" s="127">
        <v>1.5413751026011681E-9</v>
      </c>
      <c r="V188" s="127">
        <v>1.1921317026408796E-9</v>
      </c>
      <c r="W188" s="127">
        <v>2.96000525674299E-10</v>
      </c>
      <c r="X188" s="128">
        <f t="shared" si="4"/>
        <v>1.0554097583893066E-9</v>
      </c>
      <c r="Y188" s="139">
        <f t="shared" si="5"/>
        <v>2.9877629583631631</v>
      </c>
      <c r="AA188" s="73"/>
      <c r="AB188" s="176"/>
      <c r="AC188" s="176"/>
      <c r="AD188" s="176"/>
      <c r="AJ188" s="135"/>
    </row>
    <row r="189" spans="9:36" x14ac:dyDescent="0.35">
      <c r="I189" s="109">
        <v>5.31253314427E-2</v>
      </c>
      <c r="J189" s="49">
        <v>9.7899309559680624E-10</v>
      </c>
      <c r="K189" s="49">
        <v>7.0957375693906678E-11</v>
      </c>
      <c r="L189" s="152">
        <v>7.8955903517878253E-10</v>
      </c>
      <c r="M189" s="33"/>
      <c r="R189" s="60">
        <v>1253.7680221188941</v>
      </c>
      <c r="S189" s="57">
        <v>3.1954958694737124E-6</v>
      </c>
      <c r="U189" s="127">
        <v>1.6421312144973264E-9</v>
      </c>
      <c r="V189" s="127">
        <v>7.8955903517878253E-10</v>
      </c>
      <c r="W189" s="127">
        <v>3.4330315037721521E-10</v>
      </c>
      <c r="X189" s="128">
        <f t="shared" si="4"/>
        <v>8.9113810880802668E-10</v>
      </c>
      <c r="Y189" s="139">
        <f t="shared" si="5"/>
        <v>1.5329844354238331</v>
      </c>
      <c r="AA189" s="73"/>
      <c r="AB189" s="176"/>
      <c r="AC189" s="176"/>
      <c r="AD189" s="176"/>
      <c r="AJ189" s="135"/>
    </row>
    <row r="190" spans="9:36" x14ac:dyDescent="0.35">
      <c r="I190" s="109">
        <v>5.3656584757100001E-2</v>
      </c>
      <c r="J190" s="49">
        <v>7.4153987625958511E-10</v>
      </c>
      <c r="K190" s="49">
        <v>6.204219153957174E-11</v>
      </c>
      <c r="L190" s="152">
        <v>4.3960479907894772E-10</v>
      </c>
      <c r="M190" s="33"/>
      <c r="R190" s="60">
        <v>1255.4891037069683</v>
      </c>
      <c r="S190" s="57">
        <v>3.1954958694737124E-6</v>
      </c>
      <c r="U190" s="127">
        <v>1.5058408494862184E-9</v>
      </c>
      <c r="V190" s="127">
        <v>4.3960479907894772E-10</v>
      </c>
      <c r="W190" s="127">
        <v>6.3041664637429785E-10</v>
      </c>
      <c r="X190" s="128">
        <f t="shared" si="4"/>
        <v>7.5386677350460294E-10</v>
      </c>
      <c r="Y190" s="139">
        <f t="shared" si="5"/>
        <v>3.9476013721737799E-2</v>
      </c>
      <c r="AA190" s="73"/>
      <c r="AB190" s="176"/>
      <c r="AC190" s="176"/>
      <c r="AD190" s="176"/>
      <c r="AJ190" s="135"/>
    </row>
    <row r="191" spans="9:36" x14ac:dyDescent="0.35">
      <c r="I191" s="109">
        <v>5.4193150604700001E-2</v>
      </c>
      <c r="J191" s="49">
        <v>8.770331076613558E-10</v>
      </c>
      <c r="K191" s="49">
        <v>6.6964975709472737E-11</v>
      </c>
      <c r="L191" s="152">
        <v>2.7773946961081228E-10</v>
      </c>
      <c r="M191" s="33"/>
      <c r="R191" s="60">
        <v>1255.4891037069683</v>
      </c>
      <c r="S191" s="57">
        <v>3.1628981741845572E-6</v>
      </c>
      <c r="U191" s="127">
        <v>1.1728945190950755E-9</v>
      </c>
      <c r="V191" s="127">
        <v>2.7773946961081228E-10</v>
      </c>
      <c r="W191" s="127">
        <v>1.0545486672457375E-9</v>
      </c>
      <c r="X191" s="128">
        <f t="shared" si="4"/>
        <v>6.9573053139060943E-10</v>
      </c>
      <c r="Y191" s="139">
        <f t="shared" si="5"/>
        <v>7.3301442205436764</v>
      </c>
      <c r="AA191" s="73"/>
      <c r="AB191" s="176"/>
      <c r="AC191" s="176"/>
      <c r="AD191" s="176"/>
      <c r="AJ191" s="135"/>
    </row>
    <row r="192" spans="9:36" x14ac:dyDescent="0.35">
      <c r="I192" s="109">
        <v>5.4735082110700002E-2</v>
      </c>
      <c r="J192" s="49">
        <v>9.3025509698734321E-10</v>
      </c>
      <c r="K192" s="49">
        <v>7.2900059740195246E-11</v>
      </c>
      <c r="L192" s="152">
        <v>3.7533596309044268E-10</v>
      </c>
      <c r="M192" s="33"/>
      <c r="R192" s="60">
        <v>1256.7706925823422</v>
      </c>
      <c r="S192" s="57">
        <v>3.1628981741845572E-6</v>
      </c>
      <c r="U192" s="127">
        <v>7.5744320452724015E-10</v>
      </c>
      <c r="V192" s="127">
        <v>3.7533596309044268E-10</v>
      </c>
      <c r="W192" s="127">
        <v>1.4513418558010032E-9</v>
      </c>
      <c r="X192" s="128">
        <f t="shared" si="4"/>
        <v>7.3986424662728218E-10</v>
      </c>
      <c r="Y192" s="139">
        <f t="shared" si="5"/>
        <v>6.8208167022618973</v>
      </c>
      <c r="AA192" s="73"/>
      <c r="AB192" s="176"/>
      <c r="AC192" s="176"/>
      <c r="AD192" s="176"/>
      <c r="AJ192" s="135"/>
    </row>
    <row r="193" spans="9:36" x14ac:dyDescent="0.35">
      <c r="I193" s="109">
        <v>5.5282432931799998E-2</v>
      </c>
      <c r="J193" s="49">
        <v>8.7106258980957025E-10</v>
      </c>
      <c r="K193" s="49">
        <v>6.7759133520256478E-11</v>
      </c>
      <c r="L193" s="152">
        <v>7.065902815915124E-10</v>
      </c>
      <c r="M193" s="33"/>
      <c r="R193" s="60">
        <v>1256.7706925823422</v>
      </c>
      <c r="S193" s="57">
        <v>3.1157407131938853E-6</v>
      </c>
      <c r="U193" s="127">
        <v>4.1101519362528191E-10</v>
      </c>
      <c r="V193" s="127">
        <v>7.065902815915124E-10</v>
      </c>
      <c r="W193" s="127">
        <v>1.6581714653516964E-9</v>
      </c>
      <c r="X193" s="128">
        <f t="shared" si="4"/>
        <v>8.7059180554000074E-10</v>
      </c>
      <c r="Y193" s="139">
        <f t="shared" si="5"/>
        <v>4.8273434540581378E-5</v>
      </c>
      <c r="AA193" s="73"/>
      <c r="AB193" s="176"/>
      <c r="AC193" s="176"/>
      <c r="AD193" s="176"/>
      <c r="AJ193" s="135"/>
    </row>
    <row r="194" spans="9:36" x14ac:dyDescent="0.35">
      <c r="I194" s="109">
        <v>5.5835257261100002E-2</v>
      </c>
      <c r="J194" s="49">
        <v>9.1882253282355707E-10</v>
      </c>
      <c r="K194" s="49">
        <v>7.2131626746505076E-11</v>
      </c>
      <c r="L194" s="152">
        <v>1.1511707356691822E-9</v>
      </c>
      <c r="M194" s="33"/>
      <c r="R194" s="60">
        <v>1257.4838697703658</v>
      </c>
      <c r="S194" s="57">
        <v>3.1157407131938853E-6</v>
      </c>
      <c r="U194" s="127">
        <v>2.6831381716126843E-10</v>
      </c>
      <c r="V194" s="127">
        <v>1.1511707356691822E-9</v>
      </c>
      <c r="W194" s="127">
        <v>1.5828928772142545E-9</v>
      </c>
      <c r="X194" s="128">
        <f t="shared" si="4"/>
        <v>1.0383870414284719E-9</v>
      </c>
      <c r="Y194" s="139">
        <f t="shared" si="5"/>
        <v>2.7475975038692546</v>
      </c>
      <c r="AA194" s="73"/>
      <c r="AB194" s="176"/>
      <c r="AC194" s="176"/>
      <c r="AD194" s="176"/>
      <c r="AJ194" s="135"/>
    </row>
    <row r="195" spans="9:36" x14ac:dyDescent="0.35">
      <c r="I195" s="109">
        <v>5.6393609833799999E-2</v>
      </c>
      <c r="J195" s="49">
        <v>1.0976289313201166E-9</v>
      </c>
      <c r="K195" s="49">
        <v>8.4658201266812248E-11</v>
      </c>
      <c r="L195" s="152">
        <v>1.5357505115064741E-9</v>
      </c>
      <c r="M195" s="33"/>
      <c r="R195" s="60">
        <v>1257.4838697703658</v>
      </c>
      <c r="S195" s="57">
        <v>3.0623795789766111E-6</v>
      </c>
      <c r="U195" s="127">
        <v>3.9408257534305418E-10</v>
      </c>
      <c r="V195" s="127">
        <v>1.5357505115064741E-9</v>
      </c>
      <c r="W195" s="127">
        <v>1.2489216264133561E-9</v>
      </c>
      <c r="X195" s="128">
        <f t="shared" ref="X195:X243" si="6">(U195+2*V195+W195)/4</f>
        <v>1.1786263061923396E-9</v>
      </c>
      <c r="Y195" s="139">
        <f t="shared" ref="Y195:Y243" si="7">(J195-X195)*(J195-X195)/(K195*K195)</f>
        <v>0.91538504656829478</v>
      </c>
      <c r="AA195" s="73"/>
      <c r="AB195" s="176"/>
      <c r="AC195" s="176"/>
      <c r="AD195" s="176"/>
      <c r="AJ195" s="135"/>
    </row>
    <row r="196" spans="9:36" x14ac:dyDescent="0.35">
      <c r="I196" s="109">
        <v>5.69575459321E-2</v>
      </c>
      <c r="J196" s="49">
        <v>1.0930033776547463E-9</v>
      </c>
      <c r="K196" s="49">
        <v>8.2387526406297927E-11</v>
      </c>
      <c r="L196" s="152">
        <v>1.70165858819911E-9</v>
      </c>
      <c r="M196" s="33"/>
      <c r="R196" s="60">
        <v>1258.0063924802325</v>
      </c>
      <c r="S196" s="57">
        <v>3.0623795789766111E-6</v>
      </c>
      <c r="U196" s="127">
        <v>7.5219138072707967E-10</v>
      </c>
      <c r="V196" s="127">
        <v>1.70165858819911E-9</v>
      </c>
      <c r="W196" s="127">
        <v>7.9397821041064055E-10</v>
      </c>
      <c r="X196" s="128">
        <f t="shared" si="6"/>
        <v>1.237371691883985E-9</v>
      </c>
      <c r="Y196" s="139">
        <f t="shared" si="7"/>
        <v>3.0705830123907458</v>
      </c>
      <c r="AA196" s="73"/>
      <c r="AB196" s="176"/>
      <c r="AC196" s="176"/>
      <c r="AD196" s="176"/>
      <c r="AJ196" s="135"/>
    </row>
    <row r="197" spans="9:36" x14ac:dyDescent="0.35">
      <c r="I197" s="109">
        <v>5.7527121391400003E-2</v>
      </c>
      <c r="J197" s="49">
        <v>1.0334551556794715E-9</v>
      </c>
      <c r="K197" s="49">
        <v>7.9826991683406035E-11</v>
      </c>
      <c r="L197" s="152">
        <v>1.5729602357243838E-9</v>
      </c>
      <c r="M197" s="33"/>
      <c r="R197" s="60">
        <v>1258.0063924802325</v>
      </c>
      <c r="S197" s="57">
        <v>3.0060648961010269E-6</v>
      </c>
      <c r="U197" s="127">
        <v>1.2120648504881602E-9</v>
      </c>
      <c r="V197" s="127">
        <v>1.5729602357243838E-9</v>
      </c>
      <c r="W197" s="127">
        <v>4.1756620842003768E-10</v>
      </c>
      <c r="X197" s="128">
        <f t="shared" si="6"/>
        <v>1.1938878825892413E-9</v>
      </c>
      <c r="Y197" s="139">
        <f t="shared" si="7"/>
        <v>4.0391167329996147</v>
      </c>
      <c r="AA197" s="73"/>
      <c r="AB197" s="176"/>
      <c r="AC197" s="176"/>
      <c r="AD197" s="176"/>
      <c r="AJ197" s="135"/>
    </row>
    <row r="198" spans="9:36" x14ac:dyDescent="0.35">
      <c r="I198" s="109">
        <v>5.81023926053E-2</v>
      </c>
      <c r="J198" s="49">
        <v>8.5716815561707911E-10</v>
      </c>
      <c r="K198" s="49">
        <v>7.3902361357451559E-11</v>
      </c>
      <c r="L198" s="152">
        <v>1.1955472666884471E-9</v>
      </c>
      <c r="M198" s="33"/>
      <c r="R198" s="60">
        <v>1258.4316143082513</v>
      </c>
      <c r="S198" s="57">
        <v>3.0060648961010269E-6</v>
      </c>
      <c r="U198" s="127">
        <v>1.5942650773751571E-9</v>
      </c>
      <c r="V198" s="127">
        <v>1.1955472666884471E-9</v>
      </c>
      <c r="W198" s="127">
        <v>2.9513978572147567E-10</v>
      </c>
      <c r="X198" s="128">
        <f t="shared" si="6"/>
        <v>1.0701248491183817E-9</v>
      </c>
      <c r="Y198" s="139">
        <f t="shared" si="7"/>
        <v>8.3035911887129146</v>
      </c>
      <c r="AA198" s="73"/>
      <c r="AB198" s="176"/>
      <c r="AC198" s="176"/>
      <c r="AD198" s="176"/>
      <c r="AJ198" s="135"/>
    </row>
    <row r="199" spans="9:36" x14ac:dyDescent="0.35">
      <c r="I199" s="109">
        <v>5.8683416531400003E-2</v>
      </c>
      <c r="J199" s="49">
        <v>7.6607765286865873E-10</v>
      </c>
      <c r="K199" s="49">
        <v>7.3657555130860527E-11</v>
      </c>
      <c r="L199" s="152">
        <v>7.2609232349164839E-10</v>
      </c>
      <c r="M199" s="33"/>
      <c r="R199" s="60">
        <v>1258.4316143082513</v>
      </c>
      <c r="S199" s="57">
        <v>2.9482845457957806E-6</v>
      </c>
      <c r="U199" s="127">
        <v>1.7413909573777409E-9</v>
      </c>
      <c r="V199" s="127">
        <v>7.2609232349164839E-10</v>
      </c>
      <c r="W199" s="127">
        <v>4.9467954869301922E-10</v>
      </c>
      <c r="X199" s="128">
        <f t="shared" si="6"/>
        <v>9.2206378826351416E-10</v>
      </c>
      <c r="Y199" s="139">
        <f t="shared" si="7"/>
        <v>4.4847413187329268</v>
      </c>
      <c r="AA199" s="73"/>
      <c r="AB199" s="176"/>
      <c r="AC199" s="176"/>
      <c r="AD199" s="176"/>
      <c r="AJ199" s="135"/>
    </row>
    <row r="200" spans="9:36" x14ac:dyDescent="0.35">
      <c r="I200" s="109">
        <v>5.92702506967E-2</v>
      </c>
      <c r="J200" s="49">
        <v>9.2853216904817355E-10</v>
      </c>
      <c r="K200" s="49">
        <v>7.7056081730609405E-11</v>
      </c>
      <c r="L200" s="152">
        <v>3.7233575326066627E-10</v>
      </c>
      <c r="M200" s="33"/>
      <c r="R200" s="60">
        <v>1258.7987957175078</v>
      </c>
      <c r="S200" s="57">
        <v>2.9482845457957806E-6</v>
      </c>
      <c r="U200" s="127">
        <v>1.5838642109354624E-9</v>
      </c>
      <c r="V200" s="127">
        <v>3.7233575326066627E-10</v>
      </c>
      <c r="W200" s="127">
        <v>9.382199069613726E-10</v>
      </c>
      <c r="X200" s="128">
        <f t="shared" si="6"/>
        <v>8.166889061045419E-10</v>
      </c>
      <c r="Y200" s="139">
        <f t="shared" si="7"/>
        <v>2.1067151311234804</v>
      </c>
      <c r="AA200" s="73"/>
      <c r="AB200" s="176"/>
      <c r="AC200" s="176"/>
      <c r="AD200" s="176"/>
      <c r="AJ200" s="135"/>
    </row>
    <row r="201" spans="9:36" x14ac:dyDescent="0.35">
      <c r="I201" s="109">
        <v>5.9862953203699998E-2</v>
      </c>
      <c r="J201" s="49">
        <v>7.9614263623939982E-10</v>
      </c>
      <c r="K201" s="49">
        <v>7.53493022172852E-11</v>
      </c>
      <c r="L201" s="152">
        <v>3.0100072211193696E-10</v>
      </c>
      <c r="M201" s="33"/>
      <c r="R201" s="60">
        <v>1258.7987957175078</v>
      </c>
      <c r="S201" s="57">
        <v>2.8897802540312648E-6</v>
      </c>
      <c r="U201" s="127">
        <v>1.1801067466983964E-9</v>
      </c>
      <c r="V201" s="127">
        <v>3.0100072211193696E-10</v>
      </c>
      <c r="W201" s="127">
        <v>1.4249653616283765E-9</v>
      </c>
      <c r="X201" s="128">
        <f t="shared" si="6"/>
        <v>8.0176838813766166E-10</v>
      </c>
      <c r="Y201" s="139">
        <f t="shared" si="7"/>
        <v>5.5744584295672134E-3</v>
      </c>
      <c r="AA201" s="73"/>
      <c r="AB201" s="176"/>
      <c r="AC201" s="176"/>
      <c r="AD201" s="176"/>
      <c r="AJ201" s="135"/>
    </row>
    <row r="202" spans="9:36" x14ac:dyDescent="0.35">
      <c r="I202" s="109">
        <v>6.0461582735700001E-2</v>
      </c>
      <c r="J202" s="49">
        <v>1.1898966295655851E-9</v>
      </c>
      <c r="K202" s="49">
        <v>9.3547568820612354E-11</v>
      </c>
      <c r="L202" s="152">
        <v>5.5823819403758182E-10</v>
      </c>
      <c r="M202" s="33"/>
      <c r="R202" s="60">
        <v>1259.1286505671953</v>
      </c>
      <c r="S202" s="57">
        <v>2.8897802540312648E-6</v>
      </c>
      <c r="U202" s="127">
        <v>6.9867536530975995E-10</v>
      </c>
      <c r="V202" s="127">
        <v>5.5823819403758182E-10</v>
      </c>
      <c r="W202" s="127">
        <v>1.7225479443425606E-9</v>
      </c>
      <c r="X202" s="128">
        <f t="shared" si="6"/>
        <v>8.8442492443187111E-10</v>
      </c>
      <c r="Y202" s="139">
        <f t="shared" si="7"/>
        <v>10.662940057535847</v>
      </c>
      <c r="AA202" s="73"/>
      <c r="AB202" s="176"/>
      <c r="AC202" s="176"/>
      <c r="AD202" s="176"/>
      <c r="AJ202" s="135"/>
    </row>
    <row r="203" spans="9:36" x14ac:dyDescent="0.35">
      <c r="I203" s="109">
        <v>6.1066198563099999E-2</v>
      </c>
      <c r="J203" s="49">
        <v>9.0502546885063844E-10</v>
      </c>
      <c r="K203" s="49">
        <v>8.3024085690452699E-11</v>
      </c>
      <c r="L203" s="152">
        <v>1.0385089343662782E-9</v>
      </c>
      <c r="M203" s="33"/>
      <c r="R203" s="60">
        <v>1259.1286505671953</v>
      </c>
      <c r="S203" s="57">
        <v>2.8309351365104562E-6</v>
      </c>
      <c r="U203" s="127">
        <v>3.5244722541087907E-10</v>
      </c>
      <c r="V203" s="127">
        <v>1.0385089343662782E-9</v>
      </c>
      <c r="W203" s="127">
        <v>1.6795818448001961E-9</v>
      </c>
      <c r="X203" s="128">
        <f t="shared" si="6"/>
        <v>1.0272617347359079E-9</v>
      </c>
      <c r="Y203" s="139">
        <f t="shared" si="7"/>
        <v>2.1676639037437568</v>
      </c>
      <c r="AA203" s="73"/>
      <c r="AB203" s="176"/>
      <c r="AC203" s="176"/>
      <c r="AD203" s="176"/>
      <c r="AJ203" s="135"/>
    </row>
    <row r="204" spans="9:36" x14ac:dyDescent="0.35">
      <c r="I204" s="109">
        <v>6.1676860548700002E-2</v>
      </c>
      <c r="J204" s="49">
        <v>1.1009874867305808E-9</v>
      </c>
      <c r="K204" s="49">
        <v>9.1118691760550082E-11</v>
      </c>
      <c r="L204" s="152">
        <v>1.5236301982020029E-9</v>
      </c>
      <c r="M204" s="33"/>
      <c r="R204" s="60">
        <v>1259.4337664268617</v>
      </c>
      <c r="S204" s="57">
        <v>2.8309351365104562E-6</v>
      </c>
      <c r="U204" s="127">
        <v>3.0553797186732799E-10</v>
      </c>
      <c r="V204" s="127">
        <v>1.5236301982020029E-9</v>
      </c>
      <c r="W204" s="127">
        <v>1.3085232151864737E-9</v>
      </c>
      <c r="X204" s="128">
        <f t="shared" si="6"/>
        <v>1.1653303958644519E-9</v>
      </c>
      <c r="Y204" s="139">
        <f t="shared" si="7"/>
        <v>0.49863921946003609</v>
      </c>
      <c r="AA204" s="73"/>
      <c r="AB204" s="176"/>
      <c r="AC204" s="176"/>
      <c r="AD204" s="176"/>
      <c r="AJ204" s="135"/>
    </row>
    <row r="205" spans="9:36" x14ac:dyDescent="0.35">
      <c r="I205" s="109">
        <v>6.2293629154200003E-2</v>
      </c>
      <c r="J205" s="49">
        <v>1.1778495321707475E-9</v>
      </c>
      <c r="K205" s="49">
        <v>9.8706766935056411E-11</v>
      </c>
      <c r="L205" s="152">
        <v>1.7808337252223311E-9</v>
      </c>
      <c r="M205" s="33"/>
      <c r="R205" s="60">
        <v>1259.4337664268617</v>
      </c>
      <c r="S205" s="57">
        <v>2.7719455239810363E-6</v>
      </c>
      <c r="U205" s="127">
        <v>5.93709228604531E-10</v>
      </c>
      <c r="V205" s="127">
        <v>1.7808337252223311E-9</v>
      </c>
      <c r="W205" s="127">
        <v>7.9160054118578818E-10</v>
      </c>
      <c r="X205" s="128">
        <f t="shared" si="6"/>
        <v>1.2367443050587454E-9</v>
      </c>
      <c r="Y205" s="139">
        <f t="shared" si="7"/>
        <v>0.35600791077920274</v>
      </c>
      <c r="AA205" s="73"/>
      <c r="AB205" s="176"/>
      <c r="AC205" s="176"/>
      <c r="AD205" s="176"/>
      <c r="AJ205" s="135"/>
    </row>
    <row r="206" spans="9:36" x14ac:dyDescent="0.35">
      <c r="I206" s="109">
        <v>6.2916565445699998E-2</v>
      </c>
      <c r="J206" s="49">
        <v>1.0161453911666007E-9</v>
      </c>
      <c r="K206" s="49">
        <v>8.9902331780463535E-11</v>
      </c>
      <c r="L206" s="152">
        <v>1.677522011003462E-9</v>
      </c>
      <c r="M206" s="33"/>
      <c r="R206" s="60">
        <v>1259.7226619097314</v>
      </c>
      <c r="S206" s="57">
        <v>2.7719455239810363E-6</v>
      </c>
      <c r="U206" s="127">
        <v>1.0976437032033083E-9</v>
      </c>
      <c r="V206" s="127">
        <v>1.677522011003462E-9</v>
      </c>
      <c r="W206" s="127">
        <v>3.9774245031975904E-10</v>
      </c>
      <c r="X206" s="128">
        <f t="shared" si="6"/>
        <v>1.212607543882498E-9</v>
      </c>
      <c r="Y206" s="139">
        <f t="shared" si="7"/>
        <v>4.7754674009784077</v>
      </c>
      <c r="AA206" s="73"/>
      <c r="AB206" s="176"/>
      <c r="AC206" s="176"/>
      <c r="AD206" s="176"/>
      <c r="AJ206" s="135"/>
    </row>
    <row r="207" spans="9:36" x14ac:dyDescent="0.35">
      <c r="I207" s="109">
        <v>6.3545731100199995E-2</v>
      </c>
      <c r="J207" s="49">
        <v>9.1711961498317667E-10</v>
      </c>
      <c r="K207" s="49">
        <v>9.0922925455710546E-11</v>
      </c>
      <c r="L207" s="152">
        <v>1.2560864141765558E-9</v>
      </c>
      <c r="M207" s="33"/>
      <c r="R207" s="60">
        <v>1259.7226619097314</v>
      </c>
      <c r="S207" s="57">
        <v>2.7129058588899802E-6</v>
      </c>
      <c r="U207" s="127">
        <v>1.5882229323580454E-9</v>
      </c>
      <c r="V207" s="127">
        <v>1.2560864141765558E-9</v>
      </c>
      <c r="W207" s="127">
        <v>3.4497486216390954E-10</v>
      </c>
      <c r="X207" s="128">
        <f t="shared" si="6"/>
        <v>1.1113426557187665E-9</v>
      </c>
      <c r="Y207" s="139">
        <f t="shared" si="7"/>
        <v>4.5630444218703765</v>
      </c>
      <c r="AA207" s="73"/>
      <c r="AB207" s="176"/>
      <c r="AC207" s="176"/>
      <c r="AD207" s="176"/>
      <c r="AJ207" s="135"/>
    </row>
    <row r="208" spans="9:36" x14ac:dyDescent="0.35">
      <c r="I208" s="109">
        <v>6.4181188411200005E-2</v>
      </c>
      <c r="J208" s="49">
        <v>8.9679576939422361E-10</v>
      </c>
      <c r="K208" s="49">
        <v>9.4559033412453552E-11</v>
      </c>
      <c r="L208" s="152">
        <v>7.2525413394210152E-10</v>
      </c>
      <c r="M208" s="33"/>
      <c r="R208" s="60">
        <v>1260.0016797353637</v>
      </c>
      <c r="S208" s="57">
        <v>2.7129058588899802E-6</v>
      </c>
      <c r="U208" s="127">
        <v>1.8299526549711488E-9</v>
      </c>
      <c r="V208" s="127">
        <v>7.2525413394210152E-10</v>
      </c>
      <c r="W208" s="127">
        <v>6.7760397034358334E-10</v>
      </c>
      <c r="X208" s="128">
        <f t="shared" si="6"/>
        <v>9.8951622329973371E-10</v>
      </c>
      <c r="Y208" s="139">
        <f t="shared" si="7"/>
        <v>0.96149061538950553</v>
      </c>
      <c r="AA208" s="73"/>
      <c r="AB208" s="176"/>
      <c r="AC208" s="176"/>
      <c r="AD208" s="176"/>
      <c r="AJ208" s="135"/>
    </row>
    <row r="209" spans="9:36" x14ac:dyDescent="0.35">
      <c r="I209" s="109">
        <v>6.4823000295299998E-2</v>
      </c>
      <c r="J209" s="49">
        <v>9.2990947244197113E-10</v>
      </c>
      <c r="K209" s="49">
        <v>1.0128422929684354E-10</v>
      </c>
      <c r="L209" s="152">
        <v>3.628288147196378E-10</v>
      </c>
      <c r="M209" s="33"/>
      <c r="R209" s="60">
        <v>1260.0016797353637</v>
      </c>
      <c r="S209" s="57">
        <v>2.6538546439785086E-6</v>
      </c>
      <c r="U209" s="127">
        <v>1.6975250373159619E-9</v>
      </c>
      <c r="V209" s="127">
        <v>3.628288147196378E-10</v>
      </c>
      <c r="W209" s="127">
        <v>1.2286625698180364E-9</v>
      </c>
      <c r="X209" s="128">
        <f t="shared" si="6"/>
        <v>9.1296130914331857E-10</v>
      </c>
      <c r="Y209" s="139">
        <f t="shared" si="7"/>
        <v>2.8000231640081058E-2</v>
      </c>
      <c r="AA209" s="73"/>
      <c r="AB209" s="176"/>
      <c r="AC209" s="176"/>
      <c r="AD209" s="176"/>
      <c r="AJ209" s="135"/>
    </row>
    <row r="210" spans="9:36" x14ac:dyDescent="0.35">
      <c r="I210" s="109">
        <v>6.5471230298199998E-2</v>
      </c>
      <c r="J210" s="49">
        <v>1.0013834069026739E-9</v>
      </c>
      <c r="K210" s="49">
        <v>1.0759165031643574E-10</v>
      </c>
      <c r="L210" s="153">
        <v>3.7199330282834961E-10</v>
      </c>
      <c r="M210" s="18"/>
      <c r="R210" s="60">
        <v>1260.2760105340931</v>
      </c>
      <c r="S210" s="57">
        <v>2.6538546439785086E-6</v>
      </c>
      <c r="U210" s="127">
        <v>1.2476316929852016E-9</v>
      </c>
      <c r="V210" s="127">
        <v>3.7199330282834961E-10</v>
      </c>
      <c r="W210" s="127">
        <v>1.6988113254794534E-9</v>
      </c>
      <c r="X210" s="128">
        <f t="shared" si="6"/>
        <v>9.2260740603033855E-10</v>
      </c>
      <c r="Y210" s="139">
        <f t="shared" si="7"/>
        <v>0.53608137799611566</v>
      </c>
      <c r="AA210" s="73"/>
      <c r="AB210" s="176"/>
      <c r="AC210" s="176"/>
      <c r="AD210" s="176"/>
      <c r="AJ210" s="135"/>
    </row>
    <row r="211" spans="9:36" x14ac:dyDescent="0.35">
      <c r="I211" s="49">
        <v>6.61259426012E-2</v>
      </c>
      <c r="J211" s="49">
        <v>1.1172825012103624E-9</v>
      </c>
      <c r="K211" s="49">
        <v>1.1332656404513284E-10</v>
      </c>
      <c r="L211" s="153">
        <v>7.6479200757368918E-10</v>
      </c>
      <c r="M211" s="18"/>
      <c r="R211" s="60">
        <v>1260.2760105340931</v>
      </c>
      <c r="S211" s="57">
        <v>2.5948021420779923E-6</v>
      </c>
      <c r="U211" s="127">
        <v>7.0353334910557972E-10</v>
      </c>
      <c r="V211" s="127">
        <v>7.6479200757368918E-10</v>
      </c>
      <c r="W211" s="127">
        <v>1.819191486530241E-9</v>
      </c>
      <c r="X211" s="128">
        <f t="shared" si="6"/>
        <v>1.0130772126957998E-9</v>
      </c>
      <c r="Y211" s="139">
        <f t="shared" si="7"/>
        <v>0.8455048002672797</v>
      </c>
      <c r="AA211" s="73"/>
      <c r="AB211" s="176"/>
      <c r="AC211" s="176"/>
      <c r="AD211" s="176"/>
      <c r="AJ211" s="135"/>
    </row>
    <row r="212" spans="9:36" x14ac:dyDescent="0.35">
      <c r="I212" s="49">
        <v>6.6787202027199996E-2</v>
      </c>
      <c r="J212" s="49">
        <v>1.1220810977470463E-9</v>
      </c>
      <c r="K212" s="49">
        <v>1.0861692363093834E-10</v>
      </c>
      <c r="L212" s="153">
        <v>1.3411889476030983E-9</v>
      </c>
      <c r="M212" s="18"/>
      <c r="R212" s="60">
        <v>1260.5503413328224</v>
      </c>
      <c r="S212" s="57">
        <v>2.5948021420779923E-6</v>
      </c>
      <c r="U212" s="127">
        <v>3.5036888082208769E-10</v>
      </c>
      <c r="V212" s="127">
        <v>1.3411889476030983E-9</v>
      </c>
      <c r="W212" s="127">
        <v>1.511580948749963E-9</v>
      </c>
      <c r="X212" s="128">
        <f t="shared" si="6"/>
        <v>1.1360819311945617E-9</v>
      </c>
      <c r="Y212" s="139">
        <f t="shared" si="7"/>
        <v>1.6615475810519909E-2</v>
      </c>
      <c r="AA212" s="73"/>
      <c r="AB212" s="176"/>
      <c r="AC212" s="176"/>
      <c r="AD212" s="176"/>
      <c r="AJ212" s="135"/>
    </row>
    <row r="213" spans="9:36" x14ac:dyDescent="0.35">
      <c r="I213" s="49">
        <v>6.7455074047499994E-2</v>
      </c>
      <c r="J213" s="49">
        <v>1.2040626165914472E-9</v>
      </c>
      <c r="K213" s="49">
        <v>1.1864239002922441E-10</v>
      </c>
      <c r="L213" s="153">
        <v>1.7866213556055706E-9</v>
      </c>
      <c r="M213" s="18"/>
      <c r="R213" s="60">
        <v>1260.5503413328224</v>
      </c>
      <c r="S213" s="57">
        <v>2.5357509271665206E-6</v>
      </c>
      <c r="U213" s="127">
        <v>3.8721350776265731E-10</v>
      </c>
      <c r="V213" s="127">
        <v>1.7866213556055706E-9</v>
      </c>
      <c r="W213" s="127">
        <v>9.4923831407181005E-10</v>
      </c>
      <c r="X213" s="128">
        <f t="shared" si="6"/>
        <v>1.2274236332614023E-9</v>
      </c>
      <c r="Y213" s="139">
        <f t="shared" si="7"/>
        <v>3.8770705592770384E-2</v>
      </c>
      <c r="AA213" s="73"/>
      <c r="AB213" s="176"/>
      <c r="AC213" s="176"/>
      <c r="AD213" s="176"/>
      <c r="AJ213" s="135"/>
    </row>
    <row r="214" spans="9:36" x14ac:dyDescent="0.35">
      <c r="I214" s="49">
        <v>6.8129624787999998E-2</v>
      </c>
      <c r="J214" s="49">
        <v>1.2803419883483874E-9</v>
      </c>
      <c r="K214" s="49">
        <v>1.2181928207044367E-10</v>
      </c>
      <c r="L214" s="153">
        <v>1.8449669760506943E-9</v>
      </c>
      <c r="M214" s="18"/>
      <c r="R214" s="60">
        <v>1260.8293591584547</v>
      </c>
      <c r="S214" s="57">
        <v>2.5357509271665206E-6</v>
      </c>
      <c r="U214" s="127">
        <v>8.1208832334774914E-10</v>
      </c>
      <c r="V214" s="127">
        <v>1.8449669760506943E-9</v>
      </c>
      <c r="W214" s="127">
        <v>4.6987948128227212E-10</v>
      </c>
      <c r="X214" s="128">
        <f t="shared" si="6"/>
        <v>1.2429754391828526E-9</v>
      </c>
      <c r="Y214" s="139">
        <f t="shared" si="7"/>
        <v>9.4087929819841945E-2</v>
      </c>
      <c r="AA214" s="73"/>
      <c r="AB214" s="176"/>
      <c r="AC214" s="176"/>
      <c r="AD214" s="176"/>
      <c r="AJ214" s="135"/>
    </row>
    <row r="215" spans="9:36" x14ac:dyDescent="0.35">
      <c r="I215" s="49">
        <v>6.8810921035900002E-2</v>
      </c>
      <c r="J215" s="49">
        <v>1.2134019220117527E-9</v>
      </c>
      <c r="K215" s="49">
        <v>1.2458560542619436E-10</v>
      </c>
      <c r="L215" s="153">
        <v>1.4733249110105577E-9</v>
      </c>
      <c r="M215" s="18"/>
      <c r="R215" s="60">
        <v>1260.8293591584547</v>
      </c>
      <c r="S215" s="57">
        <v>2.4767112620754646E-6</v>
      </c>
      <c r="U215" s="127">
        <v>1.4080441411680095E-9</v>
      </c>
      <c r="V215" s="127">
        <v>1.4733249110105577E-9</v>
      </c>
      <c r="W215" s="127">
        <v>3.782473480931925E-10</v>
      </c>
      <c r="X215" s="128">
        <f t="shared" si="6"/>
        <v>1.1832353278205793E-9</v>
      </c>
      <c r="Y215" s="139">
        <f t="shared" si="7"/>
        <v>5.8629586088928071E-2</v>
      </c>
      <c r="AA215" s="73"/>
      <c r="AB215" s="176"/>
      <c r="AC215" s="176"/>
      <c r="AD215" s="176"/>
      <c r="AJ215" s="135"/>
    </row>
    <row r="216" spans="9:36" x14ac:dyDescent="0.35">
      <c r="I216" s="49">
        <v>6.9499030246199994E-2</v>
      </c>
      <c r="J216" s="49">
        <v>1.3743162408110668E-9</v>
      </c>
      <c r="K216" s="49">
        <v>1.3260140280882954E-10</v>
      </c>
      <c r="L216" s="153">
        <v>8.8343328664671763E-10</v>
      </c>
      <c r="M216" s="18"/>
      <c r="R216" s="60">
        <v>1261.1182546413245</v>
      </c>
      <c r="S216" s="57">
        <v>2.4767112620754646E-6</v>
      </c>
      <c r="U216" s="127">
        <v>1.8498728935089918E-9</v>
      </c>
      <c r="V216" s="127">
        <v>8.8343328664671763E-10</v>
      </c>
      <c r="W216" s="127">
        <v>7.5118002545601763E-10</v>
      </c>
      <c r="X216" s="128">
        <f t="shared" si="6"/>
        <v>1.0919798730646111E-9</v>
      </c>
      <c r="Y216" s="139">
        <f t="shared" si="7"/>
        <v>4.5335395554357465</v>
      </c>
      <c r="AA216" s="73"/>
      <c r="AB216" s="176"/>
      <c r="AC216" s="176"/>
      <c r="AD216" s="176"/>
      <c r="AJ216" s="135"/>
    </row>
    <row r="217" spans="9:36" x14ac:dyDescent="0.35">
      <c r="I217" s="49">
        <v>7.0194020548699998E-2</v>
      </c>
      <c r="J217" s="49">
        <v>1.0591283629447524E-9</v>
      </c>
      <c r="K217" s="49">
        <v>1.141221599444326E-10</v>
      </c>
      <c r="L217" s="153">
        <v>4.3143424885189057E-10</v>
      </c>
      <c r="M217" s="18"/>
      <c r="R217" s="60">
        <v>1261.1182546413245</v>
      </c>
      <c r="S217" s="57">
        <v>2.4177216495460447E-6</v>
      </c>
      <c r="U217" s="127">
        <v>1.8834025481763272E-9</v>
      </c>
      <c r="V217" s="127">
        <v>4.3143424885189057E-10</v>
      </c>
      <c r="W217" s="127">
        <v>1.3715883800485932E-9</v>
      </c>
      <c r="X217" s="128">
        <f t="shared" si="6"/>
        <v>1.0294648564821754E-9</v>
      </c>
      <c r="Y217" s="139">
        <f t="shared" si="7"/>
        <v>6.7562390592606783E-2</v>
      </c>
      <c r="AA217" s="73"/>
      <c r="AB217" s="176"/>
      <c r="AC217" s="176"/>
      <c r="AD217" s="176"/>
      <c r="AJ217" s="135"/>
    </row>
    <row r="218" spans="9:36" x14ac:dyDescent="0.35">
      <c r="I218" s="49">
        <v>7.0895960754200002E-2</v>
      </c>
      <c r="J218" s="49">
        <v>1.051274576576427E-9</v>
      </c>
      <c r="K218" s="49">
        <v>1.1613324729415684E-10</v>
      </c>
      <c r="L218" s="153">
        <v>4.0749798734893921E-10</v>
      </c>
      <c r="M218" s="18"/>
      <c r="R218" s="60">
        <v>1261.4233705009908</v>
      </c>
      <c r="S218" s="57">
        <v>2.4177216495460447E-6</v>
      </c>
      <c r="U218" s="127">
        <v>1.4798685419806036E-9</v>
      </c>
      <c r="V218" s="127">
        <v>4.0749798734893921E-10</v>
      </c>
      <c r="W218" s="127">
        <v>1.8493121122774931E-9</v>
      </c>
      <c r="X218" s="128">
        <f t="shared" si="6"/>
        <v>1.0360441572389939E-9</v>
      </c>
      <c r="Y218" s="139">
        <f t="shared" si="7"/>
        <v>1.7199292486056988E-2</v>
      </c>
      <c r="AA218" s="73"/>
      <c r="AB218" s="176"/>
      <c r="AC218" s="176"/>
      <c r="AD218" s="176"/>
      <c r="AJ218" s="135"/>
    </row>
    <row r="219" spans="9:36" x14ac:dyDescent="0.35">
      <c r="I219" s="49">
        <v>7.1604920361700006E-2</v>
      </c>
      <c r="J219" s="49">
        <v>1.2779063570428027E-9</v>
      </c>
      <c r="K219" s="49">
        <v>1.2401814398336513E-10</v>
      </c>
      <c r="L219" s="153">
        <v>8.4763689180871631E-10</v>
      </c>
      <c r="M219" s="18"/>
      <c r="R219" s="60">
        <v>1261.4233705009908</v>
      </c>
      <c r="S219" s="57">
        <v>2.3588765320252361E-6</v>
      </c>
      <c r="U219" s="127">
        <v>8.6977623914872162E-10</v>
      </c>
      <c r="V219" s="127">
        <v>8.4763689180871631E-10</v>
      </c>
      <c r="W219" s="127">
        <v>1.868694154860475E-9</v>
      </c>
      <c r="X219" s="128">
        <f t="shared" si="6"/>
        <v>1.1084360444066572E-9</v>
      </c>
      <c r="Y219" s="139">
        <f t="shared" si="7"/>
        <v>1.8673116475898357</v>
      </c>
      <c r="AA219" s="73"/>
      <c r="AB219" s="176"/>
      <c r="AC219" s="176"/>
      <c r="AD219" s="176"/>
      <c r="AJ219" s="135"/>
    </row>
    <row r="220" spans="9:36" x14ac:dyDescent="0.35">
      <c r="I220" s="49">
        <v>7.23209695653E-2</v>
      </c>
      <c r="J220" s="49">
        <v>1.3356484466699894E-9</v>
      </c>
      <c r="K220" s="49">
        <v>1.3415209948528781E-10</v>
      </c>
      <c r="L220" s="153">
        <v>1.4920159605094053E-9</v>
      </c>
      <c r="M220" s="18"/>
      <c r="R220" s="60">
        <v>1261.7532253506783</v>
      </c>
      <c r="S220" s="57">
        <v>2.3588765320252361E-6</v>
      </c>
      <c r="U220" s="127">
        <v>4.2178549898323095E-10</v>
      </c>
      <c r="V220" s="127">
        <v>1.4920159605094053E-9</v>
      </c>
      <c r="W220" s="127">
        <v>1.4080367046121219E-9</v>
      </c>
      <c r="X220" s="128">
        <f t="shared" si="6"/>
        <v>1.2034635311535409E-9</v>
      </c>
      <c r="Y220" s="139">
        <f t="shared" si="7"/>
        <v>0.9708873622129045</v>
      </c>
      <c r="AA220" s="73"/>
      <c r="AB220" s="176"/>
      <c r="AC220" s="176"/>
      <c r="AD220" s="176"/>
      <c r="AJ220" s="135"/>
    </row>
    <row r="221" spans="9:36" x14ac:dyDescent="0.35">
      <c r="I221" s="49">
        <v>7.3044179261E-2</v>
      </c>
      <c r="J221" s="49">
        <v>1.3773965587686616E-9</v>
      </c>
      <c r="K221" s="49">
        <v>1.4041721971654414E-10</v>
      </c>
      <c r="L221" s="153">
        <v>1.9336898085122842E-9</v>
      </c>
      <c r="M221" s="18"/>
      <c r="R221" s="60">
        <v>1261.7532253506783</v>
      </c>
      <c r="S221" s="57">
        <v>2.3003722402607203E-6</v>
      </c>
      <c r="U221" s="127">
        <v>4.2442646586465047E-10</v>
      </c>
      <c r="V221" s="127">
        <v>1.9336898085122842E-9</v>
      </c>
      <c r="W221" s="127">
        <v>7.7541439788689492E-10</v>
      </c>
      <c r="X221" s="128">
        <f t="shared" si="6"/>
        <v>1.2668051201940285E-9</v>
      </c>
      <c r="Y221" s="139">
        <f t="shared" si="7"/>
        <v>0.62030070597550635</v>
      </c>
      <c r="AA221" s="73"/>
      <c r="AB221" s="176"/>
      <c r="AC221" s="176"/>
      <c r="AD221" s="176"/>
      <c r="AJ221" s="135"/>
    </row>
    <row r="222" spans="9:36" x14ac:dyDescent="0.35">
      <c r="I222" s="49">
        <v>7.3774621053599998E-2</v>
      </c>
      <c r="J222" s="49">
        <v>1.2246976690284167E-9</v>
      </c>
      <c r="K222" s="49">
        <v>1.3088629192143364E-10</v>
      </c>
      <c r="L222" s="153">
        <v>1.8792968797704868E-9</v>
      </c>
      <c r="M222" s="18"/>
      <c r="R222" s="60">
        <v>1262.1204067599349</v>
      </c>
      <c r="S222" s="57">
        <v>2.3003722402607203E-6</v>
      </c>
      <c r="U222" s="127">
        <v>8.9815545843833643E-10</v>
      </c>
      <c r="V222" s="127">
        <v>1.8792968797704868E-9</v>
      </c>
      <c r="W222" s="127">
        <v>4.1522467406223318E-10</v>
      </c>
      <c r="X222" s="128">
        <f t="shared" si="6"/>
        <v>1.2679934730103859E-9</v>
      </c>
      <c r="Y222" s="139">
        <f t="shared" si="7"/>
        <v>0.10942165752576682</v>
      </c>
      <c r="AA222" s="73"/>
      <c r="AB222" s="176"/>
      <c r="AC222" s="176"/>
      <c r="AD222" s="176"/>
      <c r="AJ222" s="135"/>
    </row>
    <row r="223" spans="9:36" x14ac:dyDescent="0.35">
      <c r="I223" s="49">
        <v>7.4512367264100002E-2</v>
      </c>
      <c r="J223" s="49">
        <v>1.3336284169339559E-9</v>
      </c>
      <c r="K223" s="49">
        <v>1.3616332509320785E-10</v>
      </c>
      <c r="L223" s="153">
        <v>1.356235572802636E-9</v>
      </c>
      <c r="M223" s="18"/>
      <c r="R223" s="60">
        <v>1262.1204067599349</v>
      </c>
      <c r="S223" s="57">
        <v>2.242591889955474E-6</v>
      </c>
      <c r="U223" s="127">
        <v>1.5626662085927921E-9</v>
      </c>
      <c r="V223" s="127">
        <v>1.356235572802636E-9</v>
      </c>
      <c r="W223" s="127">
        <v>5.9950347021221856E-10</v>
      </c>
      <c r="X223" s="128">
        <f t="shared" si="6"/>
        <v>1.2186602061025707E-9</v>
      </c>
      <c r="Y223" s="139">
        <f t="shared" si="7"/>
        <v>0.71291089036431998</v>
      </c>
      <c r="AA223" s="73"/>
      <c r="AB223" s="176"/>
      <c r="AC223" s="176"/>
      <c r="AD223" s="176"/>
      <c r="AJ223" s="135"/>
    </row>
    <row r="224" spans="9:36" x14ac:dyDescent="0.35">
      <c r="I224" s="49">
        <v>7.5257490936799995E-2</v>
      </c>
      <c r="J224" s="49">
        <v>1.0530952689129062E-9</v>
      </c>
      <c r="K224" s="49">
        <v>1.2799640637893878E-10</v>
      </c>
      <c r="L224" s="153">
        <v>7.1645343915064574E-10</v>
      </c>
      <c r="M224" s="18"/>
      <c r="R224" s="60">
        <v>1262.5456285879536</v>
      </c>
      <c r="S224" s="57">
        <v>2.242591889955474E-6</v>
      </c>
      <c r="U224" s="127">
        <v>1.9984251554244695E-9</v>
      </c>
      <c r="V224" s="127">
        <v>7.1645343915064574E-10</v>
      </c>
      <c r="W224" s="127">
        <v>1.2176961946318905E-9</v>
      </c>
      <c r="X224" s="128">
        <f t="shared" si="6"/>
        <v>1.1622570570894128E-9</v>
      </c>
      <c r="Y224" s="139">
        <f t="shared" si="7"/>
        <v>0.72735382873614907</v>
      </c>
      <c r="AA224" s="73"/>
      <c r="AB224" s="176"/>
      <c r="AC224" s="176"/>
      <c r="AD224" s="176"/>
      <c r="AJ224" s="135"/>
    </row>
    <row r="225" spans="9:36" x14ac:dyDescent="0.35">
      <c r="I225" s="49">
        <v>7.6010065846099997E-2</v>
      </c>
      <c r="J225" s="49">
        <v>1.2190959303023928E-9</v>
      </c>
      <c r="K225" s="49">
        <v>1.3650683174037063E-10</v>
      </c>
      <c r="L225" s="153">
        <v>4.1167917254527367E-10</v>
      </c>
      <c r="M225" s="18"/>
      <c r="R225" s="60">
        <v>1262.5456285879536</v>
      </c>
      <c r="S225" s="57">
        <v>2.1862772070798898E-6</v>
      </c>
      <c r="U225" s="127">
        <v>1.9159573977441871E-9</v>
      </c>
      <c r="V225" s="127">
        <v>4.1167917254527367E-10</v>
      </c>
      <c r="W225" s="127">
        <v>1.8325308100010064E-9</v>
      </c>
      <c r="X225" s="128">
        <f t="shared" si="6"/>
        <v>1.1429616382089352E-9</v>
      </c>
      <c r="Y225" s="139">
        <f t="shared" si="7"/>
        <v>0.31106550527334947</v>
      </c>
      <c r="AA225" s="73"/>
      <c r="AB225" s="176"/>
      <c r="AC225" s="176"/>
      <c r="AD225" s="176"/>
      <c r="AJ225" s="135"/>
    </row>
    <row r="226" spans="9:36" x14ac:dyDescent="0.35">
      <c r="I226" s="49">
        <v>7.6770166504600001E-2</v>
      </c>
      <c r="J226" s="49">
        <v>1.27467452838822E-9</v>
      </c>
      <c r="K226" s="49">
        <v>1.4581588545248684E-10</v>
      </c>
      <c r="L226" s="153">
        <v>6.7681928693453543E-10</v>
      </c>
      <c r="M226" s="18"/>
      <c r="R226" s="60">
        <v>1263.0681512978204</v>
      </c>
      <c r="S226" s="57">
        <v>2.1862772070798898E-6</v>
      </c>
      <c r="U226" s="127">
        <v>1.3613104721030479E-9</v>
      </c>
      <c r="V226" s="127">
        <v>6.7681928693453543E-10</v>
      </c>
      <c r="W226" s="127">
        <v>1.9883028899933322E-9</v>
      </c>
      <c r="X226" s="128">
        <f t="shared" si="6"/>
        <v>1.1758129839913627E-9</v>
      </c>
      <c r="Y226" s="139">
        <f t="shared" si="7"/>
        <v>0.45966887986129684</v>
      </c>
      <c r="AA226" s="73"/>
      <c r="AB226" s="176"/>
      <c r="AC226" s="176"/>
      <c r="AD226" s="176"/>
      <c r="AJ226" s="135"/>
    </row>
    <row r="227" spans="9:36" x14ac:dyDescent="0.35">
      <c r="I227" s="49">
        <v>7.7537868169599997E-2</v>
      </c>
      <c r="J227" s="49">
        <v>1.5648654551880414E-9</v>
      </c>
      <c r="K227" s="49">
        <v>1.6109286545463661E-10</v>
      </c>
      <c r="L227" s="153">
        <v>1.3436754730083489E-9</v>
      </c>
      <c r="M227" s="18"/>
      <c r="R227" s="60">
        <v>1263.0681512978204</v>
      </c>
      <c r="S227" s="57">
        <v>2.1329160728626156E-6</v>
      </c>
      <c r="U227" s="127">
        <v>7.080398133499894E-10</v>
      </c>
      <c r="V227" s="127">
        <v>1.3436754730083489E-9</v>
      </c>
      <c r="W227" s="127">
        <v>1.5602748564259862E-9</v>
      </c>
      <c r="X227" s="128">
        <f t="shared" si="6"/>
        <v>1.2389164039481684E-9</v>
      </c>
      <c r="Y227" s="139">
        <f t="shared" si="7"/>
        <v>4.093990487439819</v>
      </c>
      <c r="AA227" s="73"/>
      <c r="AB227" s="176"/>
      <c r="AC227" s="176"/>
      <c r="AD227" s="176"/>
      <c r="AJ227" s="135"/>
    </row>
    <row r="228" spans="9:36" x14ac:dyDescent="0.35">
      <c r="I228" s="49">
        <v>7.8313246851300006E-2</v>
      </c>
      <c r="J228" s="49">
        <v>1.264089854145709E-9</v>
      </c>
      <c r="K228" s="49">
        <v>1.5451072821119441E-10</v>
      </c>
      <c r="L228" s="153">
        <v>1.9382711957520513E-9</v>
      </c>
      <c r="M228" s="18"/>
      <c r="R228" s="60">
        <v>1263.7813284858439</v>
      </c>
      <c r="S228" s="57">
        <v>2.1329160728626156E-6</v>
      </c>
      <c r="U228" s="127">
        <v>4.177647649714072E-10</v>
      </c>
      <c r="V228" s="127">
        <v>1.9382711957520513E-9</v>
      </c>
      <c r="W228" s="127">
        <v>8.7455412290871951E-10</v>
      </c>
      <c r="X228" s="128">
        <f t="shared" si="6"/>
        <v>1.2922153198460573E-9</v>
      </c>
      <c r="Y228" s="139">
        <f t="shared" si="7"/>
        <v>3.3134633075369471E-2</v>
      </c>
      <c r="AA228" s="73"/>
      <c r="AB228" s="176"/>
      <c r="AC228" s="176"/>
      <c r="AD228" s="176"/>
      <c r="AJ228" s="135"/>
    </row>
    <row r="229" spans="9:36" x14ac:dyDescent="0.35">
      <c r="I229" s="49">
        <v>7.90963793198E-2</v>
      </c>
      <c r="J229" s="49">
        <v>1.3543640255394981E-9</v>
      </c>
      <c r="K229" s="49">
        <v>1.6214934363581069E-10</v>
      </c>
      <c r="L229" s="153">
        <v>2.0184571834924222E-9</v>
      </c>
      <c r="M229" s="18"/>
      <c r="R229" s="60">
        <v>1263.7813284858439</v>
      </c>
      <c r="S229" s="57">
        <v>2.0857586118719437E-6</v>
      </c>
      <c r="U229" s="127">
        <v>7.1606664238651803E-10</v>
      </c>
      <c r="V229" s="127">
        <v>2.0184571834924222E-9</v>
      </c>
      <c r="W229" s="127">
        <v>4.7794081995180684E-10</v>
      </c>
      <c r="X229" s="128">
        <f t="shared" si="6"/>
        <v>1.3077304573307924E-9</v>
      </c>
      <c r="Y229" s="139">
        <f t="shared" si="7"/>
        <v>8.2711691835253773E-2</v>
      </c>
      <c r="AA229" s="73"/>
      <c r="AB229" s="176"/>
      <c r="AC229" s="176"/>
      <c r="AD229" s="176"/>
      <c r="AJ229" s="135"/>
    </row>
    <row r="230" spans="9:36" x14ac:dyDescent="0.35">
      <c r="I230" s="49">
        <v>7.9887343112999998E-2</v>
      </c>
      <c r="J230" s="49">
        <v>1.1997838127138096E-9</v>
      </c>
      <c r="K230" s="49">
        <v>1.4531716625340738E-10</v>
      </c>
      <c r="L230" s="153">
        <v>1.5164126597139297E-9</v>
      </c>
      <c r="M230" s="27"/>
      <c r="R230" s="60">
        <v>1265.0629173612178</v>
      </c>
      <c r="S230" s="57">
        <v>2.0857586118719437E-6</v>
      </c>
      <c r="U230" s="127">
        <v>1.4118892584756316E-9</v>
      </c>
      <c r="V230" s="127">
        <v>1.5164126597139297E-9</v>
      </c>
      <c r="W230" s="127">
        <v>7.0838973468209777E-10</v>
      </c>
      <c r="X230" s="128">
        <f t="shared" si="6"/>
        <v>1.2882760781463972E-9</v>
      </c>
      <c r="Y230" s="139">
        <f t="shared" si="7"/>
        <v>0.3708316435535764</v>
      </c>
      <c r="AA230" s="73"/>
      <c r="AB230" s="176"/>
      <c r="AC230" s="176"/>
      <c r="AD230" s="176"/>
      <c r="AJ230" s="135"/>
    </row>
    <row r="231" spans="9:36" x14ac:dyDescent="0.35">
      <c r="I231" s="49">
        <v>8.0686216544199996E-2</v>
      </c>
      <c r="J231" s="49">
        <v>1.3717653302910216E-9</v>
      </c>
      <c r="K231" s="49">
        <v>1.5978875186790202E-10</v>
      </c>
      <c r="L231" s="153">
        <v>8.168449895506228E-10</v>
      </c>
      <c r="M231" s="27"/>
      <c r="R231" s="60">
        <v>1265.0629173612178</v>
      </c>
      <c r="S231" s="57">
        <v>2.0531609165827885E-6</v>
      </c>
      <c r="U231" s="127">
        <v>2.0107596448182367E-9</v>
      </c>
      <c r="V231" s="127">
        <v>8.168449895506228E-10</v>
      </c>
      <c r="W231" s="127">
        <v>1.4018689511583177E-9</v>
      </c>
      <c r="X231" s="128">
        <f t="shared" si="6"/>
        <v>1.26157964376945E-9</v>
      </c>
      <c r="Y231" s="139">
        <f t="shared" si="7"/>
        <v>0.47550813907375639</v>
      </c>
      <c r="AA231" s="73"/>
      <c r="AB231" s="176"/>
      <c r="AC231" s="176"/>
      <c r="AD231" s="176"/>
      <c r="AJ231" s="135"/>
    </row>
    <row r="232" spans="9:36" x14ac:dyDescent="0.35">
      <c r="I232" s="49">
        <v>8.14930787096E-2</v>
      </c>
      <c r="J232" s="49">
        <v>1.3394455820641661E-9</v>
      </c>
      <c r="K232" s="49">
        <v>1.6697271682303531E-10</v>
      </c>
      <c r="L232" s="153">
        <v>4.8004702421854417E-10</v>
      </c>
      <c r="M232" s="27"/>
      <c r="R232" s="60">
        <v>1266.783998949292</v>
      </c>
      <c r="S232" s="57">
        <v>2.0531609165827885E-6</v>
      </c>
      <c r="U232" s="127">
        <v>2.0676219949714733E-9</v>
      </c>
      <c r="V232" s="127">
        <v>4.8004702421854417E-10</v>
      </c>
      <c r="W232" s="127">
        <v>1.9978458535153749E-9</v>
      </c>
      <c r="X232" s="128">
        <f t="shared" si="6"/>
        <v>1.256390474230984E-9</v>
      </c>
      <c r="Y232" s="139">
        <f t="shared" si="7"/>
        <v>0.24742390990902466</v>
      </c>
      <c r="AA232" s="73"/>
      <c r="AB232" s="176"/>
      <c r="AC232" s="176"/>
      <c r="AD232" s="176"/>
      <c r="AJ232" s="135"/>
    </row>
    <row r="233" spans="9:36" x14ac:dyDescent="0.35">
      <c r="I233" s="49">
        <v>8.2308009496700002E-2</v>
      </c>
      <c r="J233" s="49">
        <v>1.2384777892168681E-9</v>
      </c>
      <c r="K233" s="49">
        <v>1.6014793915353143E-10</v>
      </c>
      <c r="L233" s="153">
        <v>7.9821409380446523E-10</v>
      </c>
      <c r="M233" s="27"/>
      <c r="R233" s="60">
        <v>1266.783998949292</v>
      </c>
      <c r="S233" s="57">
        <v>2.048656786056501E-6</v>
      </c>
      <c r="U233" s="127">
        <v>1.532362909204669E-9</v>
      </c>
      <c r="V233" s="127">
        <v>7.9821409380446523E-10</v>
      </c>
      <c r="W233" s="127">
        <v>1.9941706902421856E-9</v>
      </c>
      <c r="X233" s="128">
        <f t="shared" si="6"/>
        <v>1.2807404467639462E-9</v>
      </c>
      <c r="Y233" s="139">
        <f t="shared" si="7"/>
        <v>6.9641945788873227E-2</v>
      </c>
      <c r="AA233" s="73"/>
      <c r="AB233" s="176"/>
      <c r="AC233" s="176"/>
      <c r="AD233" s="176"/>
      <c r="AJ233" s="135"/>
    </row>
    <row r="234" spans="9:36" x14ac:dyDescent="0.35">
      <c r="I234" s="49">
        <v>8.31310895917E-2</v>
      </c>
      <c r="J234" s="49">
        <v>1.4152926864321276E-9</v>
      </c>
      <c r="K234" s="49">
        <v>1.79942894983991E-10</v>
      </c>
      <c r="L234" s="153">
        <v>1.5361798699021844E-9</v>
      </c>
      <c r="M234" s="27"/>
      <c r="R234" s="60">
        <v>1366.783998949292</v>
      </c>
      <c r="S234" s="57">
        <v>2.048656786056501E-6</v>
      </c>
      <c r="U234" s="127">
        <v>8.1545041443396672E-10</v>
      </c>
      <c r="V234" s="127">
        <v>1.5361798699021844E-9</v>
      </c>
      <c r="W234" s="127">
        <v>1.3890857718799085E-9</v>
      </c>
      <c r="X234" s="128">
        <f t="shared" si="6"/>
        <v>1.319223981529561E-9</v>
      </c>
      <c r="Y234" s="139">
        <f t="shared" si="7"/>
        <v>0.28503255481692202</v>
      </c>
      <c r="AA234" s="73"/>
      <c r="AB234" s="176"/>
      <c r="AC234" s="176"/>
      <c r="AD234" s="176"/>
      <c r="AJ234" s="135"/>
    </row>
    <row r="235" spans="9:36" x14ac:dyDescent="0.35">
      <c r="I235" s="49">
        <v>8.3962400487599995E-2</v>
      </c>
      <c r="J235" s="49">
        <v>1.1185016775971026E-9</v>
      </c>
      <c r="K235" s="49">
        <v>1.537743055490903E-10</v>
      </c>
      <c r="L235" s="153">
        <v>2.0952681586754063E-9</v>
      </c>
      <c r="M235" s="27"/>
      <c r="U235" s="127">
        <v>4.9132249891082946E-10</v>
      </c>
      <c r="V235" s="127">
        <v>2.0952681586754063E-9</v>
      </c>
      <c r="W235" s="127">
        <v>7.1493255448893963E-10</v>
      </c>
      <c r="X235" s="128">
        <f t="shared" si="6"/>
        <v>1.3491978426876454E-9</v>
      </c>
      <c r="Y235" s="139">
        <f t="shared" si="7"/>
        <v>2.2506771491091855</v>
      </c>
      <c r="AA235" s="73"/>
      <c r="AB235" s="176"/>
      <c r="AC235" s="176"/>
      <c r="AD235" s="176"/>
      <c r="AJ235" s="135"/>
    </row>
    <row r="236" spans="9:36" x14ac:dyDescent="0.35">
      <c r="I236" s="49">
        <v>8.4802024492500003E-2</v>
      </c>
      <c r="J236" s="49">
        <v>1.5193429843618326E-9</v>
      </c>
      <c r="K236" s="49">
        <v>1.8901091001637117E-10</v>
      </c>
      <c r="L236" s="153">
        <v>2.0032462941020324E-9</v>
      </c>
      <c r="M236" s="27"/>
      <c r="U236" s="127">
        <v>8.4297522678935663E-10</v>
      </c>
      <c r="V236" s="127">
        <v>2.0032462941020324E-9</v>
      </c>
      <c r="W236" s="127">
        <v>5.9096613192877219E-10</v>
      </c>
      <c r="X236" s="128">
        <f t="shared" si="6"/>
        <v>1.3601084867305484E-9</v>
      </c>
      <c r="Y236" s="139">
        <f t="shared" si="7"/>
        <v>0.70974211765397077</v>
      </c>
      <c r="AA236" s="73"/>
      <c r="AB236" s="176"/>
      <c r="AC236" s="176"/>
      <c r="AD236" s="176"/>
      <c r="AJ236" s="135"/>
    </row>
    <row r="237" spans="9:36" x14ac:dyDescent="0.35">
      <c r="I237" s="49">
        <v>8.5650044737399997E-2</v>
      </c>
      <c r="J237" s="49">
        <v>1.4373824787622373E-9</v>
      </c>
      <c r="K237" s="49">
        <v>1.8490316470907341E-10</v>
      </c>
      <c r="L237" s="153">
        <v>1.3347581194688714E-9</v>
      </c>
      <c r="M237" s="27"/>
      <c r="U237" s="127">
        <v>1.6090759992208816E-9</v>
      </c>
      <c r="V237" s="127">
        <v>1.3347581194688714E-9</v>
      </c>
      <c r="W237" s="127">
        <v>1.1590518219075363E-9</v>
      </c>
      <c r="X237" s="128">
        <f t="shared" si="6"/>
        <v>1.3594110150165403E-9</v>
      </c>
      <c r="Y237" s="139">
        <f t="shared" si="7"/>
        <v>0.17782085156312863</v>
      </c>
      <c r="AA237" s="73"/>
      <c r="AB237" s="176"/>
      <c r="AC237" s="176"/>
      <c r="AD237" s="176"/>
      <c r="AJ237" s="135"/>
    </row>
    <row r="238" spans="9:36" x14ac:dyDescent="0.35">
      <c r="I238" s="49">
        <v>8.6506545184799999E-2</v>
      </c>
      <c r="J238" s="49">
        <v>1.6971799193571655E-9</v>
      </c>
      <c r="K238" s="49">
        <v>1.9711996064761197E-10</v>
      </c>
      <c r="L238" s="153">
        <v>6.8004040815019495E-10</v>
      </c>
      <c r="M238" s="27"/>
      <c r="U238" s="127">
        <v>2.1685409563878141E-9</v>
      </c>
      <c r="V238" s="127">
        <v>6.8004040815019495E-10</v>
      </c>
      <c r="W238" s="127">
        <v>1.9207084685098293E-9</v>
      </c>
      <c r="X238" s="128">
        <f t="shared" si="6"/>
        <v>1.3623325602995085E-9</v>
      </c>
      <c r="Y238" s="139">
        <f t="shared" si="7"/>
        <v>2.8855762075844265</v>
      </c>
      <c r="AA238" s="73"/>
      <c r="AB238" s="176"/>
      <c r="AC238" s="176"/>
      <c r="AD238" s="176"/>
      <c r="AJ238" s="135"/>
    </row>
    <row r="239" spans="9:36" x14ac:dyDescent="0.35">
      <c r="I239" s="49">
        <v>8.7371610636599997E-2</v>
      </c>
      <c r="J239" s="49">
        <v>1.373650081118967E-9</v>
      </c>
      <c r="K239" s="49">
        <v>1.8633281577620178E-10</v>
      </c>
      <c r="L239" s="153">
        <v>6.4391586039098568E-10</v>
      </c>
      <c r="M239" s="27"/>
      <c r="U239" s="127">
        <v>2.049354355098455E-9</v>
      </c>
      <c r="V239" s="127">
        <v>6.4391586039098568E-10</v>
      </c>
      <c r="W239" s="127">
        <v>2.1718345314747365E-9</v>
      </c>
      <c r="X239" s="128">
        <f t="shared" si="6"/>
        <v>1.3772551518387906E-9</v>
      </c>
      <c r="Y239" s="139">
        <f t="shared" si="7"/>
        <v>3.7432504324838724E-4</v>
      </c>
      <c r="AA239" s="73"/>
      <c r="AB239" s="176"/>
      <c r="AC239" s="176"/>
      <c r="AD239" s="176"/>
      <c r="AJ239" s="135"/>
    </row>
    <row r="240" spans="9:36" x14ac:dyDescent="0.35">
      <c r="I240" s="49">
        <v>8.8245326742999994E-2</v>
      </c>
      <c r="J240" s="49">
        <v>1.640484248113212E-9</v>
      </c>
      <c r="K240" s="49">
        <v>1.0030460052243987E-10</v>
      </c>
      <c r="L240" s="153">
        <v>1.289970490048103E-9</v>
      </c>
      <c r="M240" s="27"/>
      <c r="U240" s="127">
        <v>1.3497552326051315E-9</v>
      </c>
      <c r="V240" s="127">
        <v>1.289970490048103E-9</v>
      </c>
      <c r="W240" s="127">
        <v>1.6719697330799051E-9</v>
      </c>
      <c r="X240" s="128">
        <f t="shared" si="6"/>
        <v>1.4004164864453105E-9</v>
      </c>
      <c r="Y240" s="139">
        <f t="shared" si="7"/>
        <v>5.7283029895156936</v>
      </c>
      <c r="AA240" s="73"/>
      <c r="AB240" s="176"/>
      <c r="AC240" s="176"/>
      <c r="AD240" s="176"/>
      <c r="AJ240" s="135"/>
    </row>
    <row r="241" spans="9:36" x14ac:dyDescent="0.35">
      <c r="I241" s="49">
        <v>8.9127780010400004E-2</v>
      </c>
      <c r="J241" s="49">
        <v>1.5076866037979228E-9</v>
      </c>
      <c r="K241" s="49">
        <v>9.4142268229352706E-11</v>
      </c>
      <c r="L241" s="153">
        <v>2.0469706622641683E-9</v>
      </c>
      <c r="M241" s="27"/>
      <c r="U241" s="127">
        <v>6.8748847783610454E-10</v>
      </c>
      <c r="V241" s="127">
        <v>2.0469706622641683E-9</v>
      </c>
      <c r="W241" s="127">
        <v>9.0899529899209843E-10</v>
      </c>
      <c r="X241" s="128">
        <f t="shared" si="6"/>
        <v>1.4226062753391349E-9</v>
      </c>
      <c r="Y241" s="139">
        <f t="shared" si="7"/>
        <v>0.81674973090602798</v>
      </c>
      <c r="AA241" s="73"/>
      <c r="AB241" s="176"/>
      <c r="AC241" s="176"/>
      <c r="AD241" s="176"/>
      <c r="AJ241" s="135"/>
    </row>
    <row r="242" spans="9:36" x14ac:dyDescent="0.35">
      <c r="I242" s="49">
        <v>9.00190578105E-2</v>
      </c>
      <c r="J242" s="49">
        <v>1.5506142333489281E-9</v>
      </c>
      <c r="K242" s="49">
        <v>9.7184187928764079E-11</v>
      </c>
      <c r="L242" s="153">
        <v>2.2135811716368425E-9</v>
      </c>
      <c r="M242" s="27"/>
      <c r="U242" s="127">
        <v>6.747277015596448E-10</v>
      </c>
      <c r="V242" s="127">
        <v>2.2135811716368425E-9</v>
      </c>
      <c r="W242" s="127">
        <v>6.530308932818458E-10</v>
      </c>
      <c r="X242" s="128">
        <f t="shared" si="6"/>
        <v>1.4387302345287938E-9</v>
      </c>
      <c r="Y242" s="139">
        <f t="shared" si="7"/>
        <v>1.3253932054921627</v>
      </c>
      <c r="AA242" s="73"/>
      <c r="AB242" s="176"/>
      <c r="AC242" s="176"/>
      <c r="AD242" s="176"/>
      <c r="AJ242" s="135"/>
    </row>
    <row r="243" spans="9:36" x14ac:dyDescent="0.35">
      <c r="I243" s="49">
        <v>9.0919248388599994E-2</v>
      </c>
      <c r="J243" s="49">
        <v>1.564422349499164E-9</v>
      </c>
      <c r="K243" s="49">
        <v>9.8039268873347135E-11</v>
      </c>
      <c r="L243" s="153">
        <v>1.6298565951792633E-9</v>
      </c>
      <c r="M243" s="27"/>
      <c r="U243" s="127">
        <v>1.3548829553178456E-9</v>
      </c>
      <c r="V243" s="127">
        <v>1.6298565951792633E-9</v>
      </c>
      <c r="W243" s="127">
        <v>1.1873710559037397E-9</v>
      </c>
      <c r="X243" s="128">
        <f t="shared" si="6"/>
        <v>1.4504918003950279E-9</v>
      </c>
      <c r="Y243" s="139">
        <f t="shared" si="7"/>
        <v>1.350455423527924</v>
      </c>
      <c r="AA243" s="73"/>
      <c r="AB243" s="176"/>
      <c r="AC243" s="176"/>
      <c r="AD243" s="176"/>
      <c r="AJ243" s="135"/>
    </row>
    <row r="244" spans="9:36" x14ac:dyDescent="0.35">
      <c r="I244" s="49">
        <v>9.18284408725E-2</v>
      </c>
      <c r="J244" s="49">
        <v>1.284728800338395E-9</v>
      </c>
      <c r="K244" s="49">
        <v>9.3495451649796607E-11</v>
      </c>
      <c r="L244" s="153">
        <v>8.6716182087675734E-10</v>
      </c>
      <c r="M244" s="27"/>
      <c r="U244" s="127">
        <v>2.1263761353596107E-9</v>
      </c>
      <c r="V244" s="127">
        <v>8.6716182087675734E-10</v>
      </c>
      <c r="W244" s="127">
        <v>1.9869703657341518E-9</v>
      </c>
      <c r="X244" s="128">
        <f t="shared" ref="X244:X307" si="8">(U244+2*V244+W244)/4</f>
        <v>1.4619175357118192E-9</v>
      </c>
      <c r="Y244" s="139">
        <f t="shared" ref="Y244:Y307" si="9">(J244-X244)*(J244-X244)/(K244*K244)</f>
        <v>3.5916271779983457</v>
      </c>
      <c r="AA244" s="73"/>
      <c r="AB244" s="176"/>
      <c r="AC244" s="176"/>
      <c r="AD244" s="176"/>
      <c r="AJ244" s="135"/>
    </row>
    <row r="245" spans="9:36" x14ac:dyDescent="0.35">
      <c r="I245" s="49">
        <v>9.2746725281199996E-2</v>
      </c>
      <c r="J245" s="49">
        <v>1.543132879138321E-9</v>
      </c>
      <c r="K245" s="49">
        <v>9.8574823208766584E-11</v>
      </c>
      <c r="L245" s="153">
        <v>6.9806329138411598E-10</v>
      </c>
      <c r="M245" s="27"/>
      <c r="U245" s="127">
        <v>2.2751366453137706E-9</v>
      </c>
      <c r="V245" s="127">
        <v>6.9806329138411598E-10</v>
      </c>
      <c r="W245" s="127">
        <v>2.2280504661234989E-9</v>
      </c>
      <c r="X245" s="128">
        <f t="shared" si="8"/>
        <v>1.4748284235513754E-9</v>
      </c>
      <c r="Y245" s="139">
        <f t="shared" si="9"/>
        <v>0.48013797300664407</v>
      </c>
      <c r="AA245" s="73"/>
      <c r="AB245" s="176"/>
      <c r="AC245" s="176"/>
      <c r="AD245" s="176"/>
      <c r="AJ245" s="135"/>
    </row>
    <row r="246" spans="9:36" x14ac:dyDescent="0.35">
      <c r="I246" s="49">
        <v>9.3674192534E-2</v>
      </c>
      <c r="J246" s="49">
        <v>1.3529564801428029E-9</v>
      </c>
      <c r="K246" s="49">
        <v>9.0155350498320762E-11</v>
      </c>
      <c r="L246" s="153">
        <v>1.3196668042452275E-9</v>
      </c>
      <c r="M246" s="27"/>
      <c r="U246" s="127">
        <v>1.658734071368383E-9</v>
      </c>
      <c r="V246" s="127">
        <v>1.3196668042452275E-9</v>
      </c>
      <c r="W246" s="127">
        <v>1.6572681878135838E-9</v>
      </c>
      <c r="X246" s="128">
        <f t="shared" si="8"/>
        <v>1.4888339669181054E-9</v>
      </c>
      <c r="Y246" s="139">
        <f t="shared" si="9"/>
        <v>2.2714961164123122</v>
      </c>
      <c r="AA246" s="73"/>
      <c r="AB246" s="176"/>
      <c r="AC246" s="176"/>
      <c r="AD246" s="176"/>
      <c r="AJ246" s="135"/>
    </row>
    <row r="247" spans="9:36" x14ac:dyDescent="0.35">
      <c r="I247" s="49">
        <v>9.4610934459399998E-2</v>
      </c>
      <c r="J247" s="49">
        <v>1.708267384894783E-9</v>
      </c>
      <c r="K247" s="49">
        <v>1.0332869984528703E-10</v>
      </c>
      <c r="L247" s="153">
        <v>2.1166414078152726E-9</v>
      </c>
      <c r="M247" s="27"/>
      <c r="U247" s="127">
        <v>8.8050491575973374E-10</v>
      </c>
      <c r="V247" s="127">
        <v>2.1166414078152726E-9</v>
      </c>
      <c r="W247" s="127">
        <v>8.9987363831145926E-10</v>
      </c>
      <c r="X247" s="128">
        <f t="shared" si="8"/>
        <v>1.5034153424254345E-9</v>
      </c>
      <c r="Y247" s="139">
        <f t="shared" si="9"/>
        <v>3.9304173407181131</v>
      </c>
      <c r="AA247" s="73"/>
      <c r="AB247" s="176"/>
      <c r="AC247" s="176"/>
      <c r="AD247" s="176"/>
      <c r="AJ247" s="135"/>
    </row>
    <row r="248" spans="9:36" x14ac:dyDescent="0.35">
      <c r="I248" s="49">
        <v>9.5557043804E-2</v>
      </c>
      <c r="J248" s="49">
        <v>1.6379306494750848E-9</v>
      </c>
      <c r="K248" s="49">
        <v>1.0192331474936836E-10</v>
      </c>
      <c r="L248" s="153">
        <v>2.2665575607667654E-9</v>
      </c>
      <c r="M248" s="27"/>
      <c r="U248" s="127">
        <v>7.2867107327207425E-10</v>
      </c>
      <c r="V248" s="127">
        <v>2.2665575607667654E-9</v>
      </c>
      <c r="W248" s="127">
        <v>8.1083264365748233E-10</v>
      </c>
      <c r="X248" s="128">
        <f t="shared" si="8"/>
        <v>1.5181547096157718E-9</v>
      </c>
      <c r="Y248" s="139">
        <f t="shared" si="9"/>
        <v>1.3809949677903368</v>
      </c>
      <c r="AA248" s="73"/>
      <c r="AB248" s="176"/>
      <c r="AC248" s="176"/>
      <c r="AD248" s="176"/>
      <c r="AJ248" s="135"/>
    </row>
    <row r="249" spans="9:36" x14ac:dyDescent="0.35">
      <c r="I249" s="49">
        <v>9.6512614242E-2</v>
      </c>
      <c r="J249" s="49">
        <v>1.7060437750485394E-9</v>
      </c>
      <c r="K249" s="49">
        <v>1.0264242947335795E-10</v>
      </c>
      <c r="L249" s="153">
        <v>1.6131588605717803E-9</v>
      </c>
      <c r="M249" s="27"/>
      <c r="U249" s="127">
        <v>1.3835986423369699E-9</v>
      </c>
      <c r="V249" s="127">
        <v>1.6131588605717803E-9</v>
      </c>
      <c r="W249" s="127">
        <v>1.5185717450842509E-9</v>
      </c>
      <c r="X249" s="128">
        <f t="shared" si="8"/>
        <v>1.5321220271411954E-9</v>
      </c>
      <c r="Y249" s="139">
        <f t="shared" si="9"/>
        <v>2.8711371391245128</v>
      </c>
      <c r="AA249" s="73"/>
      <c r="AB249" s="176"/>
      <c r="AC249" s="176"/>
      <c r="AD249" s="176"/>
      <c r="AJ249" s="135"/>
    </row>
    <row r="250" spans="9:36" x14ac:dyDescent="0.35">
      <c r="I250" s="49">
        <v>9.7477740384400005E-2</v>
      </c>
      <c r="J250" s="49">
        <v>1.6648374422935204E-9</v>
      </c>
      <c r="K250" s="49">
        <v>1.028681016610785E-10</v>
      </c>
      <c r="L250" s="153">
        <v>8.7339642687139636E-10</v>
      </c>
      <c r="M250" s="27"/>
      <c r="U250" s="127">
        <v>2.1967845345171693E-9</v>
      </c>
      <c r="V250" s="127">
        <v>8.7339642687139636E-10</v>
      </c>
      <c r="W250" s="127">
        <v>2.2390097607141537E-9</v>
      </c>
      <c r="X250" s="128">
        <f t="shared" si="8"/>
        <v>1.5456467872435289E-9</v>
      </c>
      <c r="Y250" s="139">
        <f t="shared" si="9"/>
        <v>1.3425267950085691</v>
      </c>
      <c r="AA250" s="73"/>
      <c r="AB250" s="176"/>
      <c r="AC250" s="176"/>
      <c r="AD250" s="176"/>
      <c r="AJ250" s="135"/>
    </row>
    <row r="251" spans="9:36" x14ac:dyDescent="0.35">
      <c r="I251" s="49">
        <v>9.8452517788299998E-2</v>
      </c>
      <c r="J251" s="49">
        <v>1.7470361544845829E-9</v>
      </c>
      <c r="K251" s="49">
        <v>1.0852785549109131E-10</v>
      </c>
      <c r="L251" s="153">
        <v>8.8552093408590895E-10</v>
      </c>
      <c r="M251" s="27"/>
      <c r="U251" s="127">
        <v>2.329873480464352E-9</v>
      </c>
      <c r="V251" s="127">
        <v>8.8552093408590895E-10</v>
      </c>
      <c r="W251" s="127">
        <v>2.147957268390762E-9</v>
      </c>
      <c r="X251" s="128">
        <f t="shared" si="8"/>
        <v>1.5622181542567329E-9</v>
      </c>
      <c r="Y251" s="139">
        <f t="shared" si="9"/>
        <v>2.9000540398642518</v>
      </c>
      <c r="AA251" s="73"/>
      <c r="AB251" s="176"/>
      <c r="AC251" s="176"/>
      <c r="AD251" s="176"/>
      <c r="AJ251" s="135"/>
    </row>
    <row r="252" spans="9:36" x14ac:dyDescent="0.35">
      <c r="I252" s="49">
        <v>9.9437042966199998E-2</v>
      </c>
      <c r="J252" s="49">
        <v>1.5247011219736911E-9</v>
      </c>
      <c r="K252" s="49">
        <v>1.0362546381919445E-10</v>
      </c>
      <c r="L252" s="153">
        <v>1.6655336047229418E-9</v>
      </c>
      <c r="M252" s="27"/>
      <c r="U252" s="127">
        <v>1.6451057728363356E-9</v>
      </c>
      <c r="V252" s="127">
        <v>1.6655336047229418E-9</v>
      </c>
      <c r="W252" s="127">
        <v>1.3625813081551865E-9</v>
      </c>
      <c r="X252" s="128">
        <f t="shared" si="8"/>
        <v>1.5846885726093515E-9</v>
      </c>
      <c r="Y252" s="139">
        <f t="shared" si="9"/>
        <v>0.33511034604276402</v>
      </c>
      <c r="AA252" s="73"/>
      <c r="AB252" s="176"/>
      <c r="AC252" s="176"/>
      <c r="AD252" s="176"/>
      <c r="AJ252" s="135"/>
    </row>
    <row r="253" spans="9:36" x14ac:dyDescent="0.35">
      <c r="I253" s="49">
        <v>0.10043141339599999</v>
      </c>
      <c r="J253" s="49">
        <v>1.7913849377068861E-9</v>
      </c>
      <c r="K253" s="49">
        <v>1.0483780222770486E-10</v>
      </c>
      <c r="L253" s="153">
        <v>2.3460517687497604E-9</v>
      </c>
      <c r="M253" s="27"/>
      <c r="U253" s="127">
        <v>8.9358955958434631E-10</v>
      </c>
      <c r="V253" s="127">
        <v>2.3460517687497604E-9</v>
      </c>
      <c r="W253" s="127">
        <v>8.4723777137613371E-10</v>
      </c>
      <c r="X253" s="128">
        <f t="shared" si="8"/>
        <v>1.608232717115E-9</v>
      </c>
      <c r="Y253" s="139">
        <f t="shared" si="9"/>
        <v>3.052028333416632</v>
      </c>
      <c r="AA253" s="73"/>
      <c r="AB253" s="176"/>
      <c r="AC253" s="176"/>
      <c r="AD253" s="176"/>
      <c r="AJ253" s="135"/>
    </row>
    <row r="254" spans="9:36" x14ac:dyDescent="0.35">
      <c r="I254" s="49">
        <v>0.10143572753000001</v>
      </c>
      <c r="J254" s="49">
        <v>1.6336352721742424E-9</v>
      </c>
      <c r="K254" s="49">
        <v>1.0936120288353341E-10</v>
      </c>
      <c r="L254" s="153">
        <v>2.1486316701336431E-9</v>
      </c>
      <c r="M254" s="27"/>
      <c r="U254" s="127">
        <v>9.2680251563687394E-10</v>
      </c>
      <c r="V254" s="127">
        <v>2.1486316701336431E-9</v>
      </c>
      <c r="W254" s="127">
        <v>1.2657702905668817E-9</v>
      </c>
      <c r="X254" s="128">
        <f t="shared" si="8"/>
        <v>1.6224590366177605E-9</v>
      </c>
      <c r="Y254" s="139">
        <f t="shared" si="9"/>
        <v>1.0443944044183053E-2</v>
      </c>
      <c r="AA254" s="73"/>
      <c r="AB254" s="176"/>
      <c r="AC254" s="176"/>
      <c r="AD254" s="176"/>
      <c r="AJ254" s="135"/>
    </row>
    <row r="255" spans="9:36" x14ac:dyDescent="0.35">
      <c r="I255" s="49">
        <v>0.10245008480499999</v>
      </c>
      <c r="J255" s="49">
        <v>1.7899294407978896E-9</v>
      </c>
      <c r="K255" s="49">
        <v>1.2083104655351681E-10</v>
      </c>
      <c r="L255" s="153">
        <v>1.3175743707439148E-9</v>
      </c>
      <c r="M255" s="27"/>
      <c r="U255" s="127">
        <v>1.7379692032347335E-9</v>
      </c>
      <c r="V255" s="127">
        <v>1.3175743707439148E-9</v>
      </c>
      <c r="W255" s="127">
        <v>2.1330207097813073E-9</v>
      </c>
      <c r="X255" s="128">
        <f t="shared" si="8"/>
        <v>1.6265346636259676E-9</v>
      </c>
      <c r="Y255" s="139">
        <f t="shared" si="9"/>
        <v>1.8286023212835174</v>
      </c>
      <c r="AA255" s="73"/>
      <c r="AB255" s="176"/>
      <c r="AC255" s="176"/>
      <c r="AD255" s="176"/>
      <c r="AJ255" s="135"/>
    </row>
    <row r="256" spans="9:36" x14ac:dyDescent="0.35">
      <c r="I256" s="49">
        <v>0.103474585653</v>
      </c>
      <c r="J256" s="49">
        <v>1.6827855513364366E-9</v>
      </c>
      <c r="K256" s="49">
        <v>1.1813860564298539E-10</v>
      </c>
      <c r="L256" s="153">
        <v>8.7501632552170551E-10</v>
      </c>
      <c r="M256" s="27"/>
      <c r="U256" s="127">
        <v>2.425603429123391E-9</v>
      </c>
      <c r="V256" s="127">
        <v>8.7501632552170551E-10</v>
      </c>
      <c r="W256" s="127">
        <v>2.3768862990322555E-9</v>
      </c>
      <c r="X256" s="128">
        <f t="shared" si="8"/>
        <v>1.6381305947997643E-9</v>
      </c>
      <c r="Y256" s="139">
        <f t="shared" si="9"/>
        <v>0.14287480826974447</v>
      </c>
      <c r="AA256" s="73"/>
      <c r="AB256" s="176"/>
      <c r="AC256" s="176"/>
      <c r="AD256" s="176"/>
      <c r="AJ256" s="135"/>
    </row>
    <row r="257" spans="9:36" x14ac:dyDescent="0.35">
      <c r="I257" s="49">
        <v>0.10450933151</v>
      </c>
      <c r="J257" s="49">
        <v>1.8429021711820891E-9</v>
      </c>
      <c r="K257" s="49">
        <v>1.2780142741501455E-10</v>
      </c>
      <c r="L257" s="153">
        <v>1.3975894708243112E-9</v>
      </c>
      <c r="M257" s="27"/>
      <c r="U257" s="127">
        <v>2.2043794492844553E-9</v>
      </c>
      <c r="V257" s="127">
        <v>1.3975894708243112E-9</v>
      </c>
      <c r="W257" s="127">
        <v>1.699404232588544E-9</v>
      </c>
      <c r="X257" s="128">
        <f t="shared" si="8"/>
        <v>1.6747406558804056E-9</v>
      </c>
      <c r="Y257" s="139">
        <f t="shared" si="9"/>
        <v>1.731337817008026</v>
      </c>
      <c r="AA257" s="73"/>
      <c r="AB257" s="176"/>
      <c r="AC257" s="176"/>
      <c r="AD257" s="176"/>
      <c r="AJ257" s="136"/>
    </row>
    <row r="258" spans="9:36" x14ac:dyDescent="0.35">
      <c r="I258" s="49">
        <v>0.10555442482500001</v>
      </c>
      <c r="J258" s="49">
        <v>1.9207376675058928E-9</v>
      </c>
      <c r="K258" s="49">
        <v>1.2558943339233999E-10</v>
      </c>
      <c r="L258" s="153">
        <v>2.2701755437619997E-9</v>
      </c>
      <c r="M258" s="27"/>
      <c r="U258" s="127">
        <v>1.3473699393187283E-9</v>
      </c>
      <c r="V258" s="127">
        <v>2.2701755437619997E-9</v>
      </c>
      <c r="W258" s="127">
        <v>1.0041891993932545E-9</v>
      </c>
      <c r="X258" s="128">
        <f t="shared" si="8"/>
        <v>1.7229775565589957E-9</v>
      </c>
      <c r="Y258" s="139">
        <f t="shared" si="9"/>
        <v>2.4795404179664229</v>
      </c>
      <c r="AA258" s="73"/>
      <c r="AB258" s="176"/>
      <c r="AC258" s="176"/>
      <c r="AD258" s="176"/>
      <c r="AJ258" s="136"/>
    </row>
    <row r="259" spans="9:36" x14ac:dyDescent="0.35">
      <c r="I259" s="49">
        <v>0.10660996907299999</v>
      </c>
      <c r="J259" s="49">
        <v>1.7453469727328928E-9</v>
      </c>
      <c r="K259" s="49">
        <v>1.258980489896261E-10</v>
      </c>
      <c r="L259" s="153">
        <v>2.4125957933023141E-9</v>
      </c>
      <c r="M259" s="27"/>
      <c r="U259" s="127">
        <v>9.0786426468802623E-10</v>
      </c>
      <c r="V259" s="127">
        <v>2.4125957933023141E-9</v>
      </c>
      <c r="W259" s="127">
        <v>1.2395895377779539E-9</v>
      </c>
      <c r="X259" s="128">
        <f t="shared" si="8"/>
        <v>1.7431613472676521E-9</v>
      </c>
      <c r="Y259" s="139">
        <f t="shared" si="9"/>
        <v>3.0137934465861014E-4</v>
      </c>
      <c r="AA259" s="73"/>
      <c r="AB259" s="176"/>
      <c r="AC259" s="176"/>
      <c r="AD259" s="176"/>
      <c r="AJ259" s="136"/>
    </row>
    <row r="260" spans="9:36" x14ac:dyDescent="0.35">
      <c r="I260" s="49">
        <v>0.107676068764</v>
      </c>
      <c r="J260" s="49">
        <v>2.1737672019751712E-9</v>
      </c>
      <c r="K260" s="49">
        <v>1.4864626330851311E-10</v>
      </c>
      <c r="L260" s="153">
        <v>1.657656050232878E-9</v>
      </c>
      <c r="M260" s="27"/>
      <c r="U260" s="127">
        <v>1.458813312002136E-9</v>
      </c>
      <c r="V260" s="127">
        <v>1.657656050232878E-9</v>
      </c>
      <c r="W260" s="127">
        <v>2.1105274173057038E-9</v>
      </c>
      <c r="X260" s="128">
        <f t="shared" si="8"/>
        <v>1.7211632074433989E-9</v>
      </c>
      <c r="Y260" s="139">
        <f t="shared" si="9"/>
        <v>9.2710467811798978</v>
      </c>
      <c r="AA260" s="73"/>
      <c r="AB260" s="176"/>
      <c r="AC260" s="176"/>
      <c r="AD260" s="176"/>
      <c r="AJ260" s="136"/>
    </row>
    <row r="261" spans="9:36" x14ac:dyDescent="0.35">
      <c r="I261" s="49">
        <v>0.108752829451</v>
      </c>
      <c r="J261" s="49">
        <v>1.7598630620022496E-9</v>
      </c>
      <c r="K261" s="49">
        <v>1.2589054403585729E-10</v>
      </c>
      <c r="L261" s="153">
        <v>1.0121238922952856E-9</v>
      </c>
      <c r="M261" s="27"/>
      <c r="U261" s="127">
        <v>2.3506303635859964E-9</v>
      </c>
      <c r="V261" s="127">
        <v>1.0121238922952856E-9</v>
      </c>
      <c r="W261" s="127">
        <v>2.437176698643575E-9</v>
      </c>
      <c r="X261" s="128">
        <f t="shared" si="8"/>
        <v>1.7030137117050356E-9</v>
      </c>
      <c r="Y261" s="139">
        <f t="shared" si="9"/>
        <v>0.20392233283071562</v>
      </c>
      <c r="AA261" s="73"/>
      <c r="AB261" s="176"/>
      <c r="AC261" s="176"/>
      <c r="AD261" s="176"/>
      <c r="AJ261" s="136"/>
    </row>
    <row r="262" spans="9:36" x14ac:dyDescent="0.35">
      <c r="I262" s="49">
        <v>0.109840357746</v>
      </c>
      <c r="J262" s="49">
        <v>2.0031845201707296E-9</v>
      </c>
      <c r="K262" s="49">
        <v>1.427064967510196E-10</v>
      </c>
      <c r="L262" s="153">
        <v>1.3593141047022273E-9</v>
      </c>
      <c r="M262" s="27"/>
      <c r="U262" s="127">
        <v>2.4801374853735597E-9</v>
      </c>
      <c r="V262" s="127">
        <v>1.3593141047022273E-9</v>
      </c>
      <c r="W262" s="127">
        <v>1.7811671097235071E-9</v>
      </c>
      <c r="X262" s="128">
        <f t="shared" si="8"/>
        <v>1.7449832011253804E-9</v>
      </c>
      <c r="Y262" s="139">
        <f t="shared" si="9"/>
        <v>3.2736287282376098</v>
      </c>
      <c r="AA262" s="73"/>
      <c r="AB262" s="176"/>
      <c r="AC262" s="176"/>
      <c r="AD262" s="176"/>
      <c r="AJ262" s="136"/>
    </row>
    <row r="263" spans="9:36" x14ac:dyDescent="0.35">
      <c r="I263" s="49">
        <v>0.110938761323</v>
      </c>
      <c r="J263" s="49">
        <v>1.7615124985360793E-9</v>
      </c>
      <c r="K263" s="49">
        <v>1.4292721096461264E-10</v>
      </c>
      <c r="L263" s="153">
        <v>2.2520464200109933E-9</v>
      </c>
      <c r="M263" s="27"/>
      <c r="U263" s="127">
        <v>1.6975648908806907E-9</v>
      </c>
      <c r="V263" s="127">
        <v>2.2520464200109933E-9</v>
      </c>
      <c r="W263" s="127">
        <v>1.1016925337688403E-9</v>
      </c>
      <c r="X263" s="128">
        <f t="shared" si="8"/>
        <v>1.8258375661678793E-9</v>
      </c>
      <c r="Y263" s="139">
        <f t="shared" si="9"/>
        <v>0.20254926183094563</v>
      </c>
      <c r="AA263" s="73"/>
      <c r="AB263" s="176"/>
      <c r="AC263" s="176"/>
      <c r="AD263" s="176"/>
      <c r="AJ263" s="136"/>
    </row>
    <row r="264" spans="9:36" x14ac:dyDescent="0.35">
      <c r="I264" s="49">
        <v>0.11204814893700001</v>
      </c>
      <c r="J264" s="49">
        <v>2.0535377015801127E-9</v>
      </c>
      <c r="K264" s="49">
        <v>1.5181173278432861E-10</v>
      </c>
      <c r="L264" s="153">
        <v>2.4794898353785392E-9</v>
      </c>
      <c r="M264" s="27"/>
      <c r="U264" s="127">
        <v>1.045528439208673E-9</v>
      </c>
      <c r="V264" s="127">
        <v>2.4794898353785392E-9</v>
      </c>
      <c r="W264" s="127">
        <v>1.4119868479683231E-9</v>
      </c>
      <c r="X264" s="128">
        <f t="shared" si="8"/>
        <v>1.8541237394835187E-9</v>
      </c>
      <c r="Y264" s="139">
        <f t="shared" si="9"/>
        <v>1.7254423375107455</v>
      </c>
      <c r="AA264" s="73"/>
      <c r="AB264" s="176"/>
      <c r="AC264" s="176"/>
      <c r="AD264" s="176"/>
      <c r="AJ264" s="136"/>
    </row>
    <row r="265" spans="9:36" x14ac:dyDescent="0.35">
      <c r="I265" s="49">
        <v>0.11316863042600001</v>
      </c>
      <c r="J265" s="49">
        <v>2.2015692934898897E-9</v>
      </c>
      <c r="K265" s="49">
        <v>1.5006765634338829E-10</v>
      </c>
      <c r="L265" s="153">
        <v>1.7429969608650305E-9</v>
      </c>
      <c r="M265" s="27"/>
      <c r="U265" s="127">
        <v>1.4152167651192939E-9</v>
      </c>
      <c r="V265" s="127">
        <v>1.7429969608650305E-9</v>
      </c>
      <c r="W265" s="127">
        <v>2.2820318966636712E-9</v>
      </c>
      <c r="X265" s="128">
        <f t="shared" si="8"/>
        <v>1.7958106458782566E-9</v>
      </c>
      <c r="Y265" s="139">
        <f t="shared" si="9"/>
        <v>7.3107405002962222</v>
      </c>
      <c r="AA265" s="73"/>
      <c r="AB265" s="176"/>
      <c r="AC265" s="176"/>
      <c r="AD265" s="176"/>
      <c r="AJ265" s="136"/>
    </row>
    <row r="266" spans="9:36" x14ac:dyDescent="0.35">
      <c r="I266" s="49">
        <v>0.11430031673</v>
      </c>
      <c r="J266" s="49">
        <v>1.6288489295644627E-9</v>
      </c>
      <c r="K266" s="49">
        <v>1.3626253323130497E-10</v>
      </c>
      <c r="L266" s="153">
        <v>1.1183699738835137E-9</v>
      </c>
      <c r="M266" s="27"/>
      <c r="U266" s="127">
        <v>2.3289731801667614E-9</v>
      </c>
      <c r="V266" s="127">
        <v>1.1183699738835137E-9</v>
      </c>
      <c r="W266" s="127">
        <v>2.4338317975294305E-9</v>
      </c>
      <c r="X266" s="128">
        <f t="shared" si="8"/>
        <v>1.7498862313658049E-9</v>
      </c>
      <c r="Y266" s="139">
        <f t="shared" si="9"/>
        <v>0.78901552794884167</v>
      </c>
      <c r="AA266" s="73"/>
      <c r="AB266" s="176"/>
      <c r="AC266" s="176"/>
      <c r="AD266" s="176"/>
      <c r="AJ266" s="136"/>
    </row>
    <row r="267" spans="9:36" x14ac:dyDescent="0.35">
      <c r="I267" s="49">
        <v>0.115443319898</v>
      </c>
      <c r="J267" s="49">
        <v>2.0395799454454899E-9</v>
      </c>
      <c r="K267" s="49">
        <v>1.5278378762349575E-10</v>
      </c>
      <c r="L267" s="152">
        <v>1.5402524215677856E-9</v>
      </c>
      <c r="M267" s="34"/>
      <c r="U267" s="127">
        <v>2.5480163005502609E-9</v>
      </c>
      <c r="V267" s="127">
        <v>1.5402524215677856E-9</v>
      </c>
      <c r="W267" s="127">
        <v>1.6661554797656507E-9</v>
      </c>
      <c r="X267" s="128">
        <f t="shared" si="8"/>
        <v>1.8236691558628706E-9</v>
      </c>
      <c r="Y267" s="139">
        <f t="shared" si="9"/>
        <v>1.9970739494819381</v>
      </c>
      <c r="AA267" s="73"/>
      <c r="AB267" s="176"/>
      <c r="AC267" s="176"/>
      <c r="AD267" s="176"/>
      <c r="AJ267" s="136"/>
    </row>
    <row r="268" spans="9:36" x14ac:dyDescent="0.35">
      <c r="I268" s="49">
        <v>0.116597753096</v>
      </c>
      <c r="J268" s="49">
        <v>2.0475034699734737E-9</v>
      </c>
      <c r="K268" s="49">
        <v>1.6266183094391169E-10</v>
      </c>
      <c r="L268" s="152">
        <v>2.4135427540030959E-9</v>
      </c>
      <c r="M268" s="34"/>
      <c r="U268" s="127">
        <v>1.7863235914696406E-9</v>
      </c>
      <c r="V268" s="127">
        <v>2.4135427540030959E-9</v>
      </c>
      <c r="W268" s="127">
        <v>1.2044951234493209E-9</v>
      </c>
      <c r="X268" s="128">
        <f t="shared" si="8"/>
        <v>1.9544760557312884E-9</v>
      </c>
      <c r="Y268" s="139">
        <f t="shared" si="9"/>
        <v>0.32707743728436806</v>
      </c>
      <c r="AA268" s="73"/>
      <c r="AB268" s="176"/>
      <c r="AC268" s="176"/>
      <c r="AD268" s="176"/>
      <c r="AJ268" s="136"/>
    </row>
    <row r="269" spans="9:36" x14ac:dyDescent="0.35">
      <c r="I269" s="49">
        <v>0.117763730627</v>
      </c>
      <c r="J269" s="49">
        <v>2.0333009706422491E-9</v>
      </c>
      <c r="K269" s="49">
        <v>1.5557275366672843E-10</v>
      </c>
      <c r="L269" s="152">
        <v>2.4551869144205667E-9</v>
      </c>
      <c r="M269" s="33"/>
      <c r="U269" s="127">
        <v>1.1552783395286223E-9</v>
      </c>
      <c r="V269" s="127">
        <v>2.4551869144205667E-9</v>
      </c>
      <c r="W269" s="127">
        <v>1.8134432685221881E-9</v>
      </c>
      <c r="X269" s="128">
        <f t="shared" si="8"/>
        <v>1.969773859222986E-9</v>
      </c>
      <c r="Y269" s="139">
        <f t="shared" si="9"/>
        <v>0.16674435457969972</v>
      </c>
      <c r="AA269" s="73"/>
      <c r="AB269" s="176"/>
      <c r="AC269" s="176"/>
      <c r="AD269" s="176"/>
      <c r="AJ269" s="136"/>
    </row>
    <row r="270" spans="9:36" x14ac:dyDescent="0.35">
      <c r="I270" s="49">
        <v>0.11894136793399999</v>
      </c>
      <c r="J270" s="49">
        <v>2.2852032027320437E-9</v>
      </c>
      <c r="K270" s="49">
        <v>1.7257999941820602E-10</v>
      </c>
      <c r="L270" s="152">
        <v>1.6332296748530752E-9</v>
      </c>
      <c r="M270" s="34"/>
      <c r="U270" s="127">
        <v>1.5979868543511568E-9</v>
      </c>
      <c r="V270" s="127">
        <v>1.6332296748530752E-9</v>
      </c>
      <c r="W270" s="127">
        <v>2.5539155196837437E-9</v>
      </c>
      <c r="X270" s="128">
        <f t="shared" si="8"/>
        <v>1.8545904309352629E-9</v>
      </c>
      <c r="Y270" s="139">
        <f t="shared" si="9"/>
        <v>6.2257673416903554</v>
      </c>
      <c r="AA270" s="73"/>
      <c r="AB270" s="176"/>
      <c r="AC270" s="176"/>
      <c r="AD270" s="176"/>
      <c r="AJ270" s="136"/>
    </row>
    <row r="271" spans="9:36" x14ac:dyDescent="0.35">
      <c r="I271" s="49">
        <v>0.120130781613</v>
      </c>
      <c r="J271" s="49">
        <v>1.9789838122654917E-9</v>
      </c>
      <c r="K271" s="49">
        <v>1.5863452545901236E-10</v>
      </c>
      <c r="L271" s="152">
        <v>1.2586197911932929E-9</v>
      </c>
      <c r="M271" s="35"/>
      <c r="U271" s="127">
        <v>2.4888801648921141E-9</v>
      </c>
      <c r="V271" s="127">
        <v>1.2586197911932929E-9</v>
      </c>
      <c r="W271" s="127">
        <v>2.2573171359253454E-9</v>
      </c>
      <c r="X271" s="128">
        <f t="shared" si="8"/>
        <v>1.8158592208010113E-9</v>
      </c>
      <c r="Y271" s="139">
        <f t="shared" si="9"/>
        <v>1.0574100809301565</v>
      </c>
      <c r="AA271" s="73"/>
      <c r="AB271" s="176"/>
      <c r="AC271" s="176"/>
      <c r="AD271" s="176"/>
      <c r="AJ271" s="136"/>
    </row>
    <row r="272" spans="9:36" x14ac:dyDescent="0.35">
      <c r="I272" s="49">
        <v>0.12133208942900001</v>
      </c>
      <c r="J272" s="49">
        <v>1.9305206732983876E-9</v>
      </c>
      <c r="K272" s="49">
        <v>1.6777646489277574E-10</v>
      </c>
      <c r="L272" s="152">
        <v>1.9582134612574023E-9</v>
      </c>
      <c r="M272" s="34"/>
      <c r="U272" s="127">
        <v>2.5199345450158458E-9</v>
      </c>
      <c r="V272" s="127">
        <v>1.9582134612574023E-9</v>
      </c>
      <c r="W272" s="127">
        <v>1.4488818560753767E-9</v>
      </c>
      <c r="X272" s="128">
        <f t="shared" si="8"/>
        <v>1.971310830901507E-9</v>
      </c>
      <c r="Y272" s="139">
        <f t="shared" si="9"/>
        <v>5.9108329795329519E-2</v>
      </c>
      <c r="AA272" s="73"/>
      <c r="AB272" s="176"/>
      <c r="AC272" s="176"/>
      <c r="AD272" s="176"/>
      <c r="AJ272" s="136"/>
    </row>
    <row r="273" spans="9:36" x14ac:dyDescent="0.35">
      <c r="I273" s="49">
        <v>0.122545410323</v>
      </c>
      <c r="J273" s="49">
        <v>2.2710675959306665E-9</v>
      </c>
      <c r="K273" s="49">
        <v>1.7811307072621791E-10</v>
      </c>
      <c r="L273" s="152">
        <v>2.646111857236407E-9</v>
      </c>
      <c r="M273" s="33"/>
      <c r="U273" s="127">
        <v>1.6760942994370176E-9</v>
      </c>
      <c r="V273" s="127">
        <v>2.646111857236407E-9</v>
      </c>
      <c r="W273" s="127">
        <v>1.5113170690126643E-9</v>
      </c>
      <c r="X273" s="128">
        <f t="shared" si="8"/>
        <v>2.1199087707306239E-9</v>
      </c>
      <c r="Y273" s="139">
        <f t="shared" si="9"/>
        <v>0.72023700917554212</v>
      </c>
      <c r="AA273" s="73"/>
      <c r="AB273" s="176"/>
      <c r="AC273" s="176"/>
      <c r="AD273" s="176"/>
      <c r="AJ273" s="136"/>
    </row>
    <row r="274" spans="9:36" x14ac:dyDescent="0.35">
      <c r="I274" s="49">
        <v>0.123770864427</v>
      </c>
      <c r="J274" s="49">
        <v>1.800245307106222E-9</v>
      </c>
      <c r="K274" s="49">
        <v>1.6430526166222844E-10</v>
      </c>
      <c r="L274" s="152">
        <v>2.2386151316284844E-9</v>
      </c>
      <c r="M274" s="34"/>
      <c r="U274" s="127">
        <v>1.3010246027703659E-9</v>
      </c>
      <c r="V274" s="127">
        <v>2.2386151316284844E-9</v>
      </c>
      <c r="W274" s="127">
        <v>2.351365598634976E-9</v>
      </c>
      <c r="X274" s="128">
        <f t="shared" si="8"/>
        <v>2.0324051161655776E-9</v>
      </c>
      <c r="Y274" s="139">
        <f t="shared" si="9"/>
        <v>1.9965083600308722</v>
      </c>
      <c r="AA274" s="73"/>
      <c r="AB274" s="176"/>
      <c r="AC274" s="176"/>
      <c r="AD274" s="176"/>
      <c r="AJ274" s="136"/>
    </row>
    <row r="275" spans="9:36" x14ac:dyDescent="0.35">
      <c r="I275" s="49">
        <v>0.125008573071</v>
      </c>
      <c r="J275" s="49">
        <v>2.349945326202175E-9</v>
      </c>
      <c r="K275" s="49">
        <v>1.9226801540282031E-10</v>
      </c>
      <c r="L275" s="152">
        <v>1.4442299568383874E-9</v>
      </c>
      <c r="M275" s="34"/>
      <c r="U275" s="127">
        <v>2.0204361006364349E-9</v>
      </c>
      <c r="V275" s="127">
        <v>1.4442299568383874E-9</v>
      </c>
      <c r="W275" s="127">
        <v>2.5310542782100915E-9</v>
      </c>
      <c r="X275" s="128">
        <f t="shared" si="8"/>
        <v>1.8599875731308253E-9</v>
      </c>
      <c r="Y275" s="139">
        <f t="shared" si="9"/>
        <v>6.493863888784789</v>
      </c>
      <c r="AA275" s="73"/>
      <c r="AB275" s="176"/>
      <c r="AC275" s="176"/>
      <c r="AD275" s="176"/>
      <c r="AJ275" s="136"/>
    </row>
    <row r="276" spans="9:36" x14ac:dyDescent="0.35">
      <c r="I276" s="49">
        <v>0.12625865880199999</v>
      </c>
      <c r="J276" s="49">
        <v>1.9789764351366668E-9</v>
      </c>
      <c r="K276" s="49">
        <v>1.9346462016341271E-10</v>
      </c>
      <c r="L276" s="152">
        <v>1.6203311342521422E-9</v>
      </c>
      <c r="M276" s="33"/>
      <c r="U276" s="127">
        <v>2.7162235751205602E-9</v>
      </c>
      <c r="V276" s="127">
        <v>1.6203311342521422E-9</v>
      </c>
      <c r="W276" s="127">
        <v>1.7699682412107267E-9</v>
      </c>
      <c r="X276" s="128">
        <f t="shared" si="8"/>
        <v>1.9317135212088927E-9</v>
      </c>
      <c r="Y276" s="139">
        <f t="shared" si="9"/>
        <v>5.9681245482281202E-2</v>
      </c>
      <c r="AA276" s="73"/>
      <c r="AB276" s="176"/>
      <c r="AC276" s="176"/>
      <c r="AD276" s="176"/>
      <c r="AJ276" s="136"/>
    </row>
    <row r="277" spans="9:36" x14ac:dyDescent="0.35">
      <c r="I277" s="49">
        <v>0.12752124539000001</v>
      </c>
      <c r="J277" s="49">
        <v>2.1130199756613638E-9</v>
      </c>
      <c r="K277" s="49">
        <v>2.1158345264295137E-10</v>
      </c>
      <c r="L277" s="152">
        <v>2.4768648522559076E-9</v>
      </c>
      <c r="M277" s="34"/>
      <c r="U277" s="127">
        <v>2.292392974263197E-9</v>
      </c>
      <c r="V277" s="127">
        <v>2.4768648522559076E-9</v>
      </c>
      <c r="W277" s="127">
        <v>1.4680943833191874E-9</v>
      </c>
      <c r="X277" s="128">
        <f t="shared" si="8"/>
        <v>2.1785542655235499E-9</v>
      </c>
      <c r="Y277" s="139">
        <f t="shared" si="9"/>
        <v>9.5934274596835456E-2</v>
      </c>
      <c r="AA277" s="73"/>
      <c r="AB277" s="176"/>
      <c r="AC277" s="176"/>
      <c r="AD277" s="176"/>
      <c r="AJ277" s="136"/>
    </row>
    <row r="278" spans="9:36" x14ac:dyDescent="0.35">
      <c r="I278" s="49">
        <v>0.12879645784400001</v>
      </c>
      <c r="J278" s="49">
        <v>2.2938836552500375E-9</v>
      </c>
      <c r="K278" s="49">
        <v>2.159159578617806E-10</v>
      </c>
      <c r="L278" s="152">
        <v>2.5464222232688386E-9</v>
      </c>
      <c r="M278" s="34"/>
      <c r="U278" s="127">
        <v>1.4835972568720673E-9</v>
      </c>
      <c r="V278" s="127">
        <v>2.5464222232688386E-9</v>
      </c>
      <c r="W278" s="127">
        <v>2.1951286602762302E-9</v>
      </c>
      <c r="X278" s="128">
        <f t="shared" si="8"/>
        <v>2.1928925909214937E-9</v>
      </c>
      <c r="Y278" s="139">
        <f t="shared" si="9"/>
        <v>0.21877435689641708</v>
      </c>
      <c r="AA278" s="73"/>
      <c r="AB278" s="176"/>
      <c r="AC278" s="176"/>
      <c r="AD278" s="176"/>
      <c r="AJ278" s="136"/>
    </row>
    <row r="279" spans="9:36" x14ac:dyDescent="0.35">
      <c r="I279" s="49">
        <v>0.130084422422</v>
      </c>
      <c r="J279" s="49">
        <v>2.3007062454847325E-9</v>
      </c>
      <c r="K279" s="49">
        <v>2.1355120717212862E-10</v>
      </c>
      <c r="L279" s="152">
        <v>1.7434942376659265E-9</v>
      </c>
      <c r="M279" s="35"/>
      <c r="U279" s="127">
        <v>1.6685060213609993E-9</v>
      </c>
      <c r="V279" s="127">
        <v>1.7434942376659265E-9</v>
      </c>
      <c r="W279" s="127">
        <v>2.6272910262591611E-9</v>
      </c>
      <c r="X279" s="128">
        <f t="shared" si="8"/>
        <v>1.9456963807380031E-9</v>
      </c>
      <c r="Y279" s="139">
        <f t="shared" si="9"/>
        <v>2.7636101597993159</v>
      </c>
      <c r="AA279" s="73"/>
      <c r="AB279" s="176"/>
      <c r="AC279" s="176"/>
      <c r="AD279" s="176"/>
      <c r="AJ279" s="136"/>
    </row>
    <row r="280" spans="9:36" x14ac:dyDescent="0.35">
      <c r="I280" s="49">
        <v>0.131385266646</v>
      </c>
      <c r="J280" s="49">
        <v>1.7341648299407453E-9</v>
      </c>
      <c r="K280" s="49">
        <v>1.9545744562750168E-10</v>
      </c>
      <c r="L280" s="152">
        <v>1.5419571598456939E-9</v>
      </c>
      <c r="M280" s="33"/>
      <c r="U280" s="127">
        <v>2.5394270803568073E-9</v>
      </c>
      <c r="V280" s="127">
        <v>1.5419571598456939E-9</v>
      </c>
      <c r="W280" s="127">
        <v>1.9967140058980044E-9</v>
      </c>
      <c r="X280" s="128">
        <f t="shared" si="8"/>
        <v>1.9050138514865497E-9</v>
      </c>
      <c r="Y280" s="139">
        <f t="shared" si="9"/>
        <v>0.76404784343350607</v>
      </c>
      <c r="AA280" s="73"/>
      <c r="AB280" s="176"/>
      <c r="AC280" s="176"/>
      <c r="AD280" s="176"/>
      <c r="AJ280" s="136"/>
    </row>
    <row r="281" spans="9:36" x14ac:dyDescent="0.35">
      <c r="I281" s="49">
        <v>0.13269911931299999</v>
      </c>
      <c r="J281" s="49">
        <v>2.4453263274123283E-9</v>
      </c>
      <c r="K281" s="49">
        <v>2.2676976550865119E-10</v>
      </c>
      <c r="L281" s="152">
        <v>2.3259884430478824E-9</v>
      </c>
      <c r="M281" s="34"/>
      <c r="U281" s="127">
        <v>2.6033655229452876E-9</v>
      </c>
      <c r="V281" s="127">
        <v>2.3259884430478824E-9</v>
      </c>
      <c r="W281" s="127">
        <v>1.5595645353874793E-9</v>
      </c>
      <c r="X281" s="128">
        <f t="shared" si="8"/>
        <v>2.2037267361071327E-9</v>
      </c>
      <c r="Y281" s="139">
        <f t="shared" si="9"/>
        <v>1.1350685448390267</v>
      </c>
      <c r="AA281" s="73"/>
      <c r="AB281" s="176"/>
      <c r="AC281" s="176"/>
      <c r="AD281" s="176"/>
      <c r="AJ281" s="136"/>
    </row>
    <row r="282" spans="9:36" x14ac:dyDescent="0.35">
      <c r="I282" s="49">
        <v>0.134026110506</v>
      </c>
      <c r="J282" s="49">
        <v>1.9516869528514961E-9</v>
      </c>
      <c r="K282" s="49">
        <v>2.0329941415942332E-10</v>
      </c>
      <c r="L282" s="152">
        <v>2.6654674949719635E-9</v>
      </c>
      <c r="M282" s="34"/>
      <c r="U282" s="127">
        <v>1.7842334351510631E-9</v>
      </c>
      <c r="V282" s="127">
        <v>2.6654674949719635E-9</v>
      </c>
      <c r="W282" s="127">
        <v>2.1990555602534379E-9</v>
      </c>
      <c r="X282" s="128">
        <f t="shared" si="8"/>
        <v>2.328555996337107E-9</v>
      </c>
      <c r="Y282" s="139">
        <f t="shared" si="9"/>
        <v>3.4364392953059584</v>
      </c>
      <c r="AA282" s="73"/>
      <c r="AB282" s="176"/>
      <c r="AC282" s="176"/>
      <c r="AD282" s="176"/>
      <c r="AJ282" s="136"/>
    </row>
    <row r="283" spans="9:36" x14ac:dyDescent="0.35">
      <c r="I283" s="49">
        <v>0.13536637161100001</v>
      </c>
      <c r="J283" s="49">
        <v>2.6210214040631837E-9</v>
      </c>
      <c r="K283" s="49">
        <v>2.4435658859743047E-10</v>
      </c>
      <c r="L283" s="152">
        <v>1.9677241634137093E-9</v>
      </c>
      <c r="M283" s="33"/>
      <c r="U283" s="127">
        <v>1.5824556243334134E-9</v>
      </c>
      <c r="V283" s="127">
        <v>1.9677241634137093E-9</v>
      </c>
      <c r="W283" s="127">
        <v>2.6883709140805142E-9</v>
      </c>
      <c r="X283" s="128">
        <f t="shared" si="8"/>
        <v>2.0515687163103367E-9</v>
      </c>
      <c r="Y283" s="139">
        <f t="shared" si="9"/>
        <v>5.430842242271404</v>
      </c>
      <c r="AA283" s="73"/>
      <c r="AB283" s="176"/>
      <c r="AC283" s="176"/>
      <c r="AD283" s="176"/>
      <c r="AJ283" s="136"/>
    </row>
    <row r="284" spans="9:36" x14ac:dyDescent="0.35">
      <c r="I284" s="49">
        <v>0.136720035327</v>
      </c>
      <c r="J284" s="49">
        <v>2.2821637224613023E-9</v>
      </c>
      <c r="K284" s="49">
        <v>2.3408681513259151E-10</v>
      </c>
      <c r="L284" s="152">
        <v>1.6156361430855946E-9</v>
      </c>
      <c r="M284" s="34"/>
      <c r="U284" s="127">
        <v>2.3796534630403692E-9</v>
      </c>
      <c r="V284" s="127">
        <v>1.6156361430855946E-9</v>
      </c>
      <c r="W284" s="127">
        <v>2.0993624338695562E-9</v>
      </c>
      <c r="X284" s="128">
        <f t="shared" si="8"/>
        <v>1.9275720457702786E-9</v>
      </c>
      <c r="Y284" s="139">
        <f t="shared" si="9"/>
        <v>2.2945798139973062</v>
      </c>
      <c r="AA284" s="73"/>
      <c r="AB284" s="176"/>
      <c r="AC284" s="176"/>
      <c r="AD284" s="176"/>
      <c r="AJ284" s="136"/>
    </row>
    <row r="285" spans="9:36" x14ac:dyDescent="0.35">
      <c r="I285" s="49">
        <v>0.13808723568</v>
      </c>
      <c r="J285" s="49">
        <v>1.9749947839165557E-9</v>
      </c>
      <c r="K285" s="49">
        <v>2.1850063122548463E-10</v>
      </c>
      <c r="L285" s="152">
        <v>2.3229400190058293E-9</v>
      </c>
      <c r="M285" s="34"/>
      <c r="U285" s="127">
        <v>2.7203125470119454E-9</v>
      </c>
      <c r="V285" s="127">
        <v>2.3229400190058293E-9</v>
      </c>
      <c r="W285" s="127">
        <v>1.6704223665143568E-9</v>
      </c>
      <c r="X285" s="128">
        <f t="shared" si="8"/>
        <v>2.2591537378844902E-9</v>
      </c>
      <c r="Y285" s="139">
        <f t="shared" si="9"/>
        <v>1.6912869541238453</v>
      </c>
      <c r="AA285" s="73"/>
      <c r="AB285" s="176"/>
      <c r="AC285" s="176"/>
      <c r="AD285" s="176"/>
      <c r="AJ285" s="136"/>
    </row>
    <row r="286" spans="9:36" x14ac:dyDescent="0.35">
      <c r="I286" s="49">
        <v>0.13946810803699999</v>
      </c>
      <c r="J286" s="49">
        <v>2.3290412270755782E-9</v>
      </c>
      <c r="K286" s="49">
        <v>2.3040162441916254E-10</v>
      </c>
      <c r="L286" s="152">
        <v>2.7262059213367241E-9</v>
      </c>
      <c r="M286" s="34"/>
      <c r="U286" s="127">
        <v>2.0090193542742895E-9</v>
      </c>
      <c r="V286" s="127">
        <v>2.7262059213367241E-9</v>
      </c>
      <c r="W286" s="127">
        <v>2.2918837020030701E-9</v>
      </c>
      <c r="X286" s="128">
        <f t="shared" si="8"/>
        <v>2.4383287247377021E-9</v>
      </c>
      <c r="Y286" s="139">
        <f t="shared" si="9"/>
        <v>0.22499345811957983</v>
      </c>
      <c r="AA286" s="73"/>
      <c r="AB286" s="176"/>
      <c r="AC286" s="176"/>
      <c r="AD286" s="176"/>
      <c r="AJ286" s="136"/>
    </row>
    <row r="287" spans="9:36" x14ac:dyDescent="0.35">
      <c r="I287" s="49">
        <v>0.14086278911700001</v>
      </c>
      <c r="J287" s="49">
        <v>1.7698024231514186E-9</v>
      </c>
      <c r="K287" s="49">
        <v>2.1881408173641937E-10</v>
      </c>
      <c r="L287" s="152">
        <v>2.0678123670984193E-9</v>
      </c>
      <c r="M287" s="33"/>
      <c r="U287" s="127">
        <v>1.6512993726477536E-9</v>
      </c>
      <c r="V287" s="127">
        <v>2.0678123670984193E-9</v>
      </c>
      <c r="W287" s="127">
        <v>2.6669998054987745E-9</v>
      </c>
      <c r="X287" s="128">
        <f t="shared" si="8"/>
        <v>2.1134809780858415E-9</v>
      </c>
      <c r="Y287" s="139">
        <f t="shared" si="9"/>
        <v>2.4669158323109261</v>
      </c>
      <c r="AA287" s="73"/>
      <c r="AB287" s="176"/>
      <c r="AC287" s="176"/>
      <c r="AD287" s="176"/>
      <c r="AJ287" s="136"/>
    </row>
    <row r="288" spans="9:36" x14ac:dyDescent="0.35">
      <c r="I288" s="49">
        <v>0.14227141700900001</v>
      </c>
      <c r="J288" s="49">
        <v>2.272133523231767E-9</v>
      </c>
      <c r="K288" s="49">
        <v>2.4166716155911734E-10</v>
      </c>
      <c r="L288" s="152">
        <v>1.722057651157453E-9</v>
      </c>
      <c r="M288" s="35"/>
      <c r="U288" s="127">
        <v>2.3668065742328572E-9</v>
      </c>
      <c r="V288" s="127">
        <v>1.722057651157453E-9</v>
      </c>
      <c r="W288" s="127">
        <v>2.0373455768391385E-9</v>
      </c>
      <c r="X288" s="128">
        <f t="shared" si="8"/>
        <v>1.9620668633467257E-9</v>
      </c>
      <c r="Y288" s="139">
        <f t="shared" si="9"/>
        <v>1.6461706697739136</v>
      </c>
      <c r="AA288" s="73"/>
      <c r="AB288" s="176"/>
      <c r="AC288" s="176"/>
      <c r="AD288" s="176"/>
      <c r="AJ288" s="136"/>
    </row>
    <row r="289" spans="9:36" x14ac:dyDescent="0.35">
      <c r="I289" s="49">
        <v>0.14369413117900001</v>
      </c>
      <c r="J289" s="49">
        <v>2.4994495840766483E-9</v>
      </c>
      <c r="K289" s="49">
        <v>2.5783186169676079E-10</v>
      </c>
      <c r="L289" s="152">
        <v>2.4003901610153631E-9</v>
      </c>
      <c r="M289" s="34"/>
      <c r="U289" s="127">
        <v>2.7726538862907411E-9</v>
      </c>
      <c r="V289" s="127">
        <v>2.4003901610153631E-9</v>
      </c>
      <c r="W289" s="127">
        <v>1.7958594154884225E-9</v>
      </c>
      <c r="X289" s="128">
        <f t="shared" si="8"/>
        <v>2.3423234059524724E-9</v>
      </c>
      <c r="Y289" s="139">
        <f t="shared" si="9"/>
        <v>0.37138462903483382</v>
      </c>
      <c r="AA289" s="73"/>
      <c r="AB289" s="176"/>
      <c r="AC289" s="176"/>
      <c r="AD289" s="176"/>
      <c r="AJ289" s="136"/>
    </row>
    <row r="290" spans="9:36" x14ac:dyDescent="0.35">
      <c r="I290" s="49">
        <v>0.14513107249099999</v>
      </c>
      <c r="J290" s="49">
        <v>2.215154233609696E-9</v>
      </c>
      <c r="K290" s="49">
        <v>2.4990153163185718E-10</v>
      </c>
      <c r="L290" s="152">
        <v>2.6834451697711821E-9</v>
      </c>
      <c r="M290" s="34"/>
      <c r="U290" s="127">
        <v>2.1038266792319383E-9</v>
      </c>
      <c r="V290" s="127">
        <v>2.6834451697711821E-9</v>
      </c>
      <c r="W290" s="127">
        <v>2.4679392910491628E-9</v>
      </c>
      <c r="X290" s="128">
        <f t="shared" si="8"/>
        <v>2.4846640774558662E-9</v>
      </c>
      <c r="Y290" s="139">
        <f t="shared" si="9"/>
        <v>1.1630849310444569</v>
      </c>
      <c r="AA290" s="73"/>
      <c r="AB290" s="176"/>
      <c r="AC290" s="176"/>
      <c r="AD290" s="176"/>
      <c r="AJ290" s="136"/>
    </row>
    <row r="291" spans="9:36" x14ac:dyDescent="0.35">
      <c r="I291" s="49">
        <v>0.146582383215</v>
      </c>
      <c r="J291" s="49">
        <v>1.8941920806260266E-9</v>
      </c>
      <c r="K291" s="49">
        <v>2.4578190959603144E-10</v>
      </c>
      <c r="L291" s="152">
        <v>2.0069257684117787E-9</v>
      </c>
      <c r="M291" s="33"/>
      <c r="U291" s="127">
        <v>1.7509536728937324E-9</v>
      </c>
      <c r="V291" s="127">
        <v>2.0069257684117787E-9</v>
      </c>
      <c r="W291" s="127">
        <v>2.5691040090867016E-9</v>
      </c>
      <c r="X291" s="128">
        <f t="shared" si="8"/>
        <v>2.083477304700998E-9</v>
      </c>
      <c r="Y291" s="139">
        <f t="shared" si="9"/>
        <v>0.5931077498245847</v>
      </c>
      <c r="AA291" s="73"/>
      <c r="AB291" s="176"/>
      <c r="AC291" s="176"/>
      <c r="AD291" s="176"/>
      <c r="AJ291" s="136"/>
    </row>
    <row r="292" spans="9:36" x14ac:dyDescent="0.35">
      <c r="I292" s="49">
        <v>0.14804820704800001</v>
      </c>
      <c r="J292" s="49">
        <v>1.4730126280496272E-9</v>
      </c>
      <c r="K292" s="49">
        <v>2.3115077490206674E-10</v>
      </c>
      <c r="L292" s="152">
        <v>1.8588907124171076E-9</v>
      </c>
      <c r="M292" s="34"/>
      <c r="U292" s="127">
        <v>2.4332021445801142E-9</v>
      </c>
      <c r="V292" s="127">
        <v>1.8588907124171076E-9</v>
      </c>
      <c r="W292" s="127">
        <v>1.9246305279992791E-9</v>
      </c>
      <c r="X292" s="128">
        <f t="shared" si="8"/>
        <v>2.018903524353402E-9</v>
      </c>
      <c r="Y292" s="139">
        <f t="shared" si="9"/>
        <v>5.5772613515734886</v>
      </c>
      <c r="AA292" s="73"/>
      <c r="AB292" s="176"/>
      <c r="AC292" s="176"/>
      <c r="AD292" s="176"/>
      <c r="AJ292" s="136"/>
    </row>
    <row r="293" spans="9:36" x14ac:dyDescent="0.35">
      <c r="I293" s="49">
        <v>0.14952868911799999</v>
      </c>
      <c r="J293" s="49">
        <v>2.0091862661413827E-9</v>
      </c>
      <c r="K293" s="49">
        <v>2.6153721813158184E-10</v>
      </c>
      <c r="L293" s="152">
        <v>2.5530470835802526E-9</v>
      </c>
      <c r="M293" s="34"/>
      <c r="U293" s="127">
        <v>2.71786197308518E-9</v>
      </c>
      <c r="V293" s="127">
        <v>2.5530470835802526E-9</v>
      </c>
      <c r="W293" s="127">
        <v>2.0513960199691319E-9</v>
      </c>
      <c r="X293" s="128">
        <f t="shared" si="8"/>
        <v>2.4688380400537042E-9</v>
      </c>
      <c r="Y293" s="139">
        <f t="shared" si="9"/>
        <v>3.0888077693132936</v>
      </c>
      <c r="AA293" s="73"/>
      <c r="AB293" s="176"/>
      <c r="AC293" s="176"/>
      <c r="AD293" s="176"/>
      <c r="AJ293" s="136"/>
    </row>
    <row r="294" spans="9:36" x14ac:dyDescent="0.35">
      <c r="I294" s="49">
        <v>0.151023976009</v>
      </c>
      <c r="J294" s="49">
        <v>2.5871078582437051E-9</v>
      </c>
      <c r="K294" s="49">
        <v>2.8396946452289856E-10</v>
      </c>
      <c r="L294" s="152">
        <v>2.5541661026743685E-9</v>
      </c>
      <c r="M294" s="33"/>
      <c r="U294" s="127">
        <v>2.0335474127014641E-9</v>
      </c>
      <c r="V294" s="127">
        <v>2.5541661026743685E-9</v>
      </c>
      <c r="W294" s="127">
        <v>2.6680584768433864E-9</v>
      </c>
      <c r="X294" s="128">
        <f t="shared" si="8"/>
        <v>2.4524845237233968E-9</v>
      </c>
      <c r="Y294" s="139">
        <f t="shared" si="9"/>
        <v>0.22474881056726936</v>
      </c>
      <c r="AA294" s="73"/>
      <c r="AB294" s="176"/>
      <c r="AC294" s="176"/>
      <c r="AD294" s="176"/>
      <c r="AJ294" s="136"/>
    </row>
    <row r="295" spans="9:36" x14ac:dyDescent="0.35">
      <c r="I295" s="49">
        <v>0.152534215769</v>
      </c>
      <c r="J295" s="49">
        <v>2.0769379845126381E-9</v>
      </c>
      <c r="K295" s="49">
        <v>2.8298150330561799E-10</v>
      </c>
      <c r="L295" s="152">
        <v>1.9111228765186751E-9</v>
      </c>
      <c r="M295" s="34"/>
      <c r="U295" s="127">
        <v>1.8794510934189693E-9</v>
      </c>
      <c r="V295" s="127">
        <v>1.9111228765186751E-9</v>
      </c>
      <c r="W295" s="127">
        <v>2.3609955076424617E-9</v>
      </c>
      <c r="X295" s="128">
        <f t="shared" si="8"/>
        <v>2.0156730885246951E-9</v>
      </c>
      <c r="Y295" s="139">
        <f t="shared" si="9"/>
        <v>4.6871332722435217E-2</v>
      </c>
      <c r="AA295" s="73"/>
      <c r="AB295" s="176"/>
      <c r="AC295" s="176"/>
      <c r="AD295" s="176"/>
      <c r="AJ295" s="136"/>
    </row>
    <row r="296" spans="9:36" x14ac:dyDescent="0.35">
      <c r="I296" s="49">
        <v>0.15405955792699999</v>
      </c>
      <c r="J296" s="49">
        <v>2.1952619494906523E-9</v>
      </c>
      <c r="K296" s="49">
        <v>2.7821818016454753E-10</v>
      </c>
      <c r="L296" s="152">
        <v>2.1289896872316492E-9</v>
      </c>
      <c r="M296" s="35"/>
      <c r="U296" s="127">
        <v>2.5758056958403919E-9</v>
      </c>
      <c r="V296" s="127">
        <v>2.1289896872316492E-9</v>
      </c>
      <c r="W296" s="127">
        <v>1.9107458690525902E-9</v>
      </c>
      <c r="X296" s="128">
        <f t="shared" si="8"/>
        <v>2.18613273483907E-9</v>
      </c>
      <c r="Y296" s="139">
        <f t="shared" si="9"/>
        <v>1.0767027594049353E-3</v>
      </c>
      <c r="AA296" s="73"/>
      <c r="AB296" s="176"/>
      <c r="AC296" s="176"/>
      <c r="AD296" s="176"/>
      <c r="AJ296" s="136"/>
    </row>
    <row r="297" spans="9:36" x14ac:dyDescent="0.35">
      <c r="I297" s="49">
        <v>0.15560015350600001</v>
      </c>
      <c r="J297" s="49">
        <v>2.4551756075272005E-9</v>
      </c>
      <c r="K297" s="49">
        <v>2.8537695800546246E-10</v>
      </c>
      <c r="L297" s="152">
        <v>2.7070106647522008E-9</v>
      </c>
      <c r="M297" s="34"/>
      <c r="U297" s="127">
        <v>2.5777263589211483E-9</v>
      </c>
      <c r="V297" s="127">
        <v>2.7070106647522008E-9</v>
      </c>
      <c r="W297" s="127">
        <v>2.3996008658136755E-9</v>
      </c>
      <c r="X297" s="128">
        <f t="shared" si="8"/>
        <v>2.5978371385598065E-9</v>
      </c>
      <c r="Y297" s="139">
        <f t="shared" si="9"/>
        <v>0.24990557953370376</v>
      </c>
      <c r="AA297" s="73"/>
      <c r="AB297" s="176"/>
      <c r="AC297" s="176"/>
      <c r="AD297" s="176"/>
      <c r="AJ297" s="136"/>
    </row>
    <row r="298" spans="9:36" x14ac:dyDescent="0.35">
      <c r="I298" s="109">
        <v>0.157156155041</v>
      </c>
      <c r="J298" s="109">
        <v>2.1233338177313265E-9</v>
      </c>
      <c r="K298" s="109">
        <v>2.8003248958125666E-10</v>
      </c>
      <c r="L298" s="152">
        <v>2.31849228569614E-9</v>
      </c>
      <c r="M298" s="33"/>
      <c r="U298" s="127">
        <v>1.9273503187578305E-9</v>
      </c>
      <c r="V298" s="127">
        <v>2.31849228569614E-9</v>
      </c>
      <c r="W298" s="127">
        <v>2.6083320609897633E-9</v>
      </c>
      <c r="X298" s="128">
        <f t="shared" si="8"/>
        <v>2.2931667377849685E-9</v>
      </c>
      <c r="Y298" s="139">
        <f t="shared" si="9"/>
        <v>0.36781286093912191</v>
      </c>
      <c r="AA298" s="73"/>
      <c r="AB298" s="176"/>
      <c r="AC298" s="176"/>
      <c r="AD298" s="176"/>
      <c r="AJ298" s="136"/>
    </row>
    <row r="299" spans="9:36" x14ac:dyDescent="0.35">
      <c r="I299" s="109">
        <v>0.158727716592</v>
      </c>
      <c r="J299" s="109">
        <v>2.5783893206966222E-9</v>
      </c>
      <c r="K299" s="109">
        <v>3.0488128934962613E-10</v>
      </c>
      <c r="L299" s="152">
        <v>1.9292010884254042E-9</v>
      </c>
      <c r="M299" s="34"/>
      <c r="U299" s="127">
        <v>2.1383670053674615E-9</v>
      </c>
      <c r="V299" s="127">
        <v>1.9292010884254042E-9</v>
      </c>
      <c r="W299" s="127">
        <v>2.0436648738676334E-9</v>
      </c>
      <c r="X299" s="128">
        <f t="shared" si="8"/>
        <v>2.0101085140214758E-9</v>
      </c>
      <c r="Y299" s="139">
        <f t="shared" si="9"/>
        <v>3.474276923576709</v>
      </c>
      <c r="AA299" s="73"/>
      <c r="AB299" s="176"/>
      <c r="AC299" s="176"/>
      <c r="AD299" s="176"/>
      <c r="AJ299" s="136"/>
    </row>
    <row r="300" spans="9:36" x14ac:dyDescent="0.35">
      <c r="I300" s="109">
        <v>0.16031499375800001</v>
      </c>
      <c r="J300" s="109">
        <v>1.81915409435421E-9</v>
      </c>
      <c r="K300" s="109">
        <v>2.8799194219661711E-10</v>
      </c>
      <c r="L300" s="152">
        <v>2.4602936412394661E-9</v>
      </c>
      <c r="M300" s="34"/>
      <c r="U300" s="127">
        <v>2.7172808278271253E-9</v>
      </c>
      <c r="V300" s="127">
        <v>2.4602936412394661E-9</v>
      </c>
      <c r="W300" s="127">
        <v>2.1326911256863659E-9</v>
      </c>
      <c r="X300" s="128">
        <f t="shared" si="8"/>
        <v>2.442639808998106E-9</v>
      </c>
      <c r="Y300" s="139">
        <f t="shared" si="9"/>
        <v>4.6869718084289893</v>
      </c>
      <c r="AA300" s="73"/>
      <c r="AB300" s="176"/>
      <c r="AC300" s="176"/>
      <c r="AD300" s="176"/>
      <c r="AJ300" s="136"/>
    </row>
    <row r="301" spans="9:36" x14ac:dyDescent="0.35">
      <c r="I301" s="109">
        <v>0.16191814369499999</v>
      </c>
      <c r="J301" s="109">
        <v>2.1889076263881295E-9</v>
      </c>
      <c r="K301" s="109">
        <v>3.1043438503962921E-10</v>
      </c>
      <c r="L301" s="152">
        <v>2.5816819597439154E-9</v>
      </c>
      <c r="M301" s="33"/>
      <c r="U301" s="127">
        <v>2.3284720103645128E-9</v>
      </c>
      <c r="V301" s="127">
        <v>2.5816819597439154E-9</v>
      </c>
      <c r="W301" s="127">
        <v>2.6038963737518235E-9</v>
      </c>
      <c r="X301" s="128">
        <f t="shared" si="8"/>
        <v>2.5239330759010418E-9</v>
      </c>
      <c r="Y301" s="139">
        <f t="shared" si="9"/>
        <v>1.1647050486421457</v>
      </c>
      <c r="AA301" s="73"/>
      <c r="AB301" s="176"/>
      <c r="AC301" s="176"/>
      <c r="AD301" s="176"/>
      <c r="AJ301" s="136"/>
    </row>
    <row r="302" spans="9:36" x14ac:dyDescent="0.35">
      <c r="I302" s="109">
        <v>0.16353732513200001</v>
      </c>
      <c r="J302" s="109">
        <v>2.4556235101361295E-9</v>
      </c>
      <c r="K302" s="109">
        <v>3.6012095965726565E-10</v>
      </c>
      <c r="L302" s="152">
        <v>2.0114662810471299E-9</v>
      </c>
      <c r="M302" s="34"/>
      <c r="U302" s="127">
        <v>1.9298770178305711E-9</v>
      </c>
      <c r="V302" s="127">
        <v>2.0114662810471299E-9</v>
      </c>
      <c r="W302" s="127">
        <v>2.2396853900589884E-9</v>
      </c>
      <c r="X302" s="128">
        <f t="shared" si="8"/>
        <v>2.0481237424959549E-9</v>
      </c>
      <c r="Y302" s="139">
        <f t="shared" si="9"/>
        <v>1.2804361688729176</v>
      </c>
      <c r="AA302" s="73"/>
      <c r="AB302" s="176"/>
      <c r="AC302" s="176"/>
      <c r="AD302" s="176"/>
      <c r="AJ302" s="136"/>
    </row>
    <row r="303" spans="9:36" x14ac:dyDescent="0.35">
      <c r="I303" s="109">
        <v>0.16517269838400001</v>
      </c>
      <c r="J303" s="109">
        <v>2.1055349757078278E-9</v>
      </c>
      <c r="K303" s="109">
        <v>3.1154442402460574E-10</v>
      </c>
      <c r="L303" s="152">
        <v>2.1776924780803326E-9</v>
      </c>
      <c r="M303" s="34"/>
      <c r="U303" s="127">
        <v>2.4537749743357808E-9</v>
      </c>
      <c r="V303" s="127">
        <v>2.1776924780803326E-9</v>
      </c>
      <c r="W303" s="127">
        <v>2.0339600917161434E-9</v>
      </c>
      <c r="X303" s="128">
        <f t="shared" si="8"/>
        <v>2.2107800055531473E-9</v>
      </c>
      <c r="Y303" s="139">
        <f t="shared" si="9"/>
        <v>0.11412038437810691</v>
      </c>
      <c r="AA303" s="73"/>
      <c r="AB303" s="176"/>
      <c r="AC303" s="176"/>
      <c r="AD303" s="176"/>
      <c r="AJ303" s="136"/>
    </row>
    <row r="304" spans="9:36" x14ac:dyDescent="0.35">
      <c r="I304" s="109">
        <v>0.16682442536700001</v>
      </c>
      <c r="J304" s="109">
        <v>2.0585244391261829E-9</v>
      </c>
      <c r="K304" s="109">
        <v>3.3819473321971004E-10</v>
      </c>
      <c r="L304" s="152">
        <v>2.6019142083832739E-9</v>
      </c>
      <c r="M304" s="35"/>
      <c r="U304" s="127">
        <v>2.5775293441387393E-9</v>
      </c>
      <c r="V304" s="127">
        <v>2.6019142083832739E-9</v>
      </c>
      <c r="W304" s="127">
        <v>2.5269071204376471E-9</v>
      </c>
      <c r="X304" s="128">
        <f t="shared" si="8"/>
        <v>2.5770662203357334E-9</v>
      </c>
      <c r="Y304" s="139">
        <f t="shared" si="9"/>
        <v>2.3508982377626495</v>
      </c>
      <c r="AA304" s="73"/>
      <c r="AB304" s="176"/>
      <c r="AC304" s="176"/>
      <c r="AD304" s="176"/>
      <c r="AJ304" s="136"/>
    </row>
    <row r="305" spans="9:36" x14ac:dyDescent="0.35">
      <c r="I305" s="109">
        <v>0.16849266962100001</v>
      </c>
      <c r="J305" s="109">
        <v>2.6579060006303831E-9</v>
      </c>
      <c r="K305" s="109">
        <v>3.448167288344377E-10</v>
      </c>
      <c r="L305" s="152">
        <v>2.1850908770697658E-9</v>
      </c>
      <c r="M305" s="33"/>
      <c r="U305" s="127">
        <v>2.0046593086274021E-9</v>
      </c>
      <c r="V305" s="127">
        <v>2.1850908770697658E-9</v>
      </c>
      <c r="W305" s="127">
        <v>2.3925271723647557E-9</v>
      </c>
      <c r="X305" s="128">
        <f t="shared" si="8"/>
        <v>2.1918420587829223E-9</v>
      </c>
      <c r="Y305" s="139">
        <f t="shared" si="9"/>
        <v>1.8268982212707459</v>
      </c>
      <c r="AA305" s="73"/>
      <c r="AB305" s="176"/>
      <c r="AC305" s="176"/>
      <c r="AD305" s="176"/>
      <c r="AJ305" s="136"/>
    </row>
    <row r="306" spans="9:36" x14ac:dyDescent="0.35">
      <c r="I306" s="109">
        <v>0.170177596317</v>
      </c>
      <c r="J306" s="109">
        <v>2.3777634406938365E-9</v>
      </c>
      <c r="K306" s="109">
        <v>3.4433715880862049E-10</v>
      </c>
      <c r="L306" s="152">
        <v>2.0486904364142504E-9</v>
      </c>
      <c r="M306" s="34"/>
      <c r="U306" s="127">
        <v>2.1596893803981867E-9</v>
      </c>
      <c r="V306" s="127">
        <v>2.0486904364142504E-9</v>
      </c>
      <c r="W306" s="127">
        <v>2.0285725175984587E-9</v>
      </c>
      <c r="X306" s="128">
        <f t="shared" si="8"/>
        <v>2.0714106927062864E-9</v>
      </c>
      <c r="Y306" s="139">
        <f t="shared" si="9"/>
        <v>0.79154530495405206</v>
      </c>
      <c r="AA306" s="73"/>
      <c r="AB306" s="176"/>
      <c r="AC306" s="176"/>
      <c r="AD306" s="176"/>
      <c r="AJ306" s="136"/>
    </row>
    <row r="307" spans="9:36" x14ac:dyDescent="0.35">
      <c r="I307" s="109">
        <v>0.17187937228</v>
      </c>
      <c r="J307" s="109">
        <v>1.9076871705743194E-9</v>
      </c>
      <c r="K307" s="109">
        <v>3.3457770672307327E-10</v>
      </c>
      <c r="L307" s="152">
        <v>2.5344411417243592E-9</v>
      </c>
      <c r="M307" s="34"/>
      <c r="U307" s="127">
        <v>2.5823649815250282E-9</v>
      </c>
      <c r="V307" s="127">
        <v>2.5344411417243592E-9</v>
      </c>
      <c r="W307" s="127">
        <v>2.4116549165805388E-9</v>
      </c>
      <c r="X307" s="128">
        <f t="shared" si="8"/>
        <v>2.5157255453885713E-9</v>
      </c>
      <c r="Y307" s="139">
        <f t="shared" si="9"/>
        <v>3.3026912734887341</v>
      </c>
      <c r="AA307" s="73"/>
      <c r="AB307" s="176"/>
      <c r="AC307" s="176"/>
      <c r="AD307" s="176"/>
      <c r="AJ307" s="136"/>
    </row>
    <row r="308" spans="9:36" x14ac:dyDescent="0.35">
      <c r="I308" s="109">
        <v>0.17359816600299999</v>
      </c>
      <c r="J308" s="109">
        <v>1.6603855308392048E-9</v>
      </c>
      <c r="K308" s="109">
        <v>3.5973581454247065E-10</v>
      </c>
      <c r="L308" s="152">
        <v>2.3279254389892384E-9</v>
      </c>
      <c r="M308" s="33"/>
      <c r="U308" s="127">
        <v>2.1683551243706597E-9</v>
      </c>
      <c r="V308" s="127">
        <v>2.3279254389892384E-9</v>
      </c>
      <c r="W308" s="127">
        <v>2.4224011345058514E-9</v>
      </c>
      <c r="X308" s="128">
        <f t="shared" ref="X308:X322" si="10">(U308+2*V308+W308)/4</f>
        <v>2.311651784213747E-9</v>
      </c>
      <c r="Y308" s="139">
        <f t="shared" ref="Y308:Y322" si="11">(J308-X308)*(J308-X308)/(K308*K308)</f>
        <v>3.2775535421157289</v>
      </c>
      <c r="AA308" s="73"/>
      <c r="AB308" s="176"/>
      <c r="AC308" s="176"/>
      <c r="AD308" s="176"/>
      <c r="AJ308" s="136"/>
    </row>
    <row r="309" spans="9:36" x14ac:dyDescent="0.35">
      <c r="I309" s="109">
        <v>0.17533414766300001</v>
      </c>
      <c r="J309" s="109">
        <v>1.956137229908954E-9</v>
      </c>
      <c r="K309" s="109">
        <v>3.7739116354531428E-10</v>
      </c>
      <c r="L309" s="152">
        <v>2.0104964550743698E-9</v>
      </c>
      <c r="M309" s="34"/>
      <c r="U309" s="127">
        <v>2.0206959067533567E-9</v>
      </c>
      <c r="V309" s="127">
        <v>2.0104964550743698E-9</v>
      </c>
      <c r="W309" s="127">
        <v>2.02441187384681E-9</v>
      </c>
      <c r="X309" s="128">
        <f t="shared" si="10"/>
        <v>2.0165251726872266E-9</v>
      </c>
      <c r="Y309" s="139">
        <f t="shared" si="11"/>
        <v>2.5604542214347686E-2</v>
      </c>
      <c r="AA309" s="73"/>
      <c r="AB309" s="176"/>
      <c r="AC309" s="176"/>
      <c r="AD309" s="176"/>
      <c r="AJ309" s="136"/>
    </row>
    <row r="310" spans="9:36" x14ac:dyDescent="0.35">
      <c r="I310" s="109">
        <v>0.17708748914</v>
      </c>
      <c r="J310" s="109">
        <v>1.5363112246000526E-9</v>
      </c>
      <c r="K310" s="109">
        <v>3.7674103497744919E-10</v>
      </c>
      <c r="L310" s="152">
        <v>2.4109779091330637E-9</v>
      </c>
      <c r="M310" s="34"/>
      <c r="U310" s="127">
        <v>2.4983232745841634E-9</v>
      </c>
      <c r="V310" s="127">
        <v>2.4109779091330637E-9</v>
      </c>
      <c r="W310" s="127">
        <v>2.3034347300136071E-9</v>
      </c>
      <c r="X310" s="128">
        <f t="shared" si="10"/>
        <v>2.4059284557159745E-9</v>
      </c>
      <c r="Y310" s="139">
        <f t="shared" si="11"/>
        <v>5.3280761103753322</v>
      </c>
      <c r="AA310" s="73"/>
      <c r="AB310" s="176"/>
      <c r="AC310" s="176"/>
      <c r="AD310" s="176"/>
      <c r="AJ310" s="136"/>
    </row>
    <row r="311" spans="9:36" x14ac:dyDescent="0.35">
      <c r="I311" s="109">
        <v>0.178858364031</v>
      </c>
      <c r="J311" s="109">
        <v>2.263799826429435E-9</v>
      </c>
      <c r="K311" s="109">
        <v>4.1026784455110179E-10</v>
      </c>
      <c r="L311" s="152">
        <v>2.3502109248191003E-9</v>
      </c>
      <c r="M311" s="34"/>
      <c r="U311" s="127">
        <v>2.2967878191074366E-9</v>
      </c>
      <c r="V311" s="127">
        <v>2.3502109248191003E-9</v>
      </c>
      <c r="W311" s="127">
        <v>2.3674849548060373E-9</v>
      </c>
      <c r="X311" s="128">
        <f t="shared" si="10"/>
        <v>2.3411736558879188E-9</v>
      </c>
      <c r="Y311" s="139">
        <f t="shared" si="11"/>
        <v>3.5567490514209668E-2</v>
      </c>
      <c r="AA311" s="73"/>
      <c r="AB311" s="176"/>
      <c r="AC311" s="176"/>
      <c r="AD311" s="176"/>
      <c r="AJ311" s="136"/>
    </row>
    <row r="312" spans="9:36" x14ac:dyDescent="0.35">
      <c r="I312" s="109">
        <v>0.18064694767200001</v>
      </c>
      <c r="J312" s="109">
        <v>2.2731742855540835E-9</v>
      </c>
      <c r="K312" s="109">
        <v>4.3303499808735803E-10</v>
      </c>
      <c r="L312" s="152">
        <v>1.9819797362654854E-9</v>
      </c>
      <c r="M312" s="33"/>
      <c r="U312" s="127">
        <v>1.9708306259971423E-9</v>
      </c>
      <c r="V312" s="127">
        <v>1.9819797362654854E-9</v>
      </c>
      <c r="W312" s="127">
        <v>2.0104656464605837E-9</v>
      </c>
      <c r="X312" s="128">
        <f t="shared" si="10"/>
        <v>1.9863139362471743E-9</v>
      </c>
      <c r="Y312" s="139">
        <f t="shared" si="11"/>
        <v>0.43882872752586694</v>
      </c>
      <c r="AA312" s="73"/>
      <c r="AB312" s="176"/>
      <c r="AC312" s="176"/>
      <c r="AD312" s="176"/>
      <c r="AJ312" s="136"/>
    </row>
    <row r="313" spans="9:36" x14ac:dyDescent="0.35">
      <c r="I313" s="109">
        <v>0.18245341714800001</v>
      </c>
      <c r="J313" s="109">
        <v>2.0328686067260076E-9</v>
      </c>
      <c r="K313" s="109">
        <v>3.9062683326522466E-10</v>
      </c>
      <c r="L313" s="152">
        <v>2.2879963587506015E-9</v>
      </c>
      <c r="M313" s="34"/>
      <c r="U313" s="127">
        <v>2.3575526375731863E-9</v>
      </c>
      <c r="V313" s="127">
        <v>2.2879963587506015E-9</v>
      </c>
      <c r="W313" s="127">
        <v>2.2559349748175372E-9</v>
      </c>
      <c r="X313" s="128">
        <f t="shared" si="10"/>
        <v>2.2973700824729816E-9</v>
      </c>
      <c r="Y313" s="139">
        <f t="shared" si="11"/>
        <v>0.45849230704949229</v>
      </c>
      <c r="AA313" s="73"/>
      <c r="AB313" s="176"/>
      <c r="AC313" s="176"/>
      <c r="AD313" s="176"/>
      <c r="AJ313" s="136"/>
    </row>
    <row r="314" spans="9:36" x14ac:dyDescent="0.35">
      <c r="I314" s="109">
        <v>0.18427795131999999</v>
      </c>
      <c r="J314" s="109">
        <v>2.2174964072975982E-9</v>
      </c>
      <c r="K314" s="109">
        <v>4.53473541521887E-10</v>
      </c>
      <c r="L314" s="152">
        <v>2.2881225917772851E-9</v>
      </c>
      <c r="M314" s="34"/>
      <c r="U314" s="127">
        <v>2.3017690998361055E-9</v>
      </c>
      <c r="V314" s="127">
        <v>2.2881225917772851E-9</v>
      </c>
      <c r="W314" s="127">
        <v>2.3017412927760398E-9</v>
      </c>
      <c r="X314" s="128">
        <f t="shared" si="10"/>
        <v>2.2949388940416787E-9</v>
      </c>
      <c r="Y314" s="139">
        <f t="shared" si="11"/>
        <v>2.9164509373547174E-2</v>
      </c>
      <c r="AA314" s="73"/>
      <c r="AB314" s="176"/>
      <c r="AC314" s="176"/>
      <c r="AD314" s="176"/>
      <c r="AJ314" s="136"/>
    </row>
    <row r="315" spans="9:36" x14ac:dyDescent="0.35">
      <c r="I315" s="109">
        <v>0.18612073083299999</v>
      </c>
      <c r="J315" s="109">
        <v>2.3471808738710821E-9</v>
      </c>
      <c r="K315" s="109">
        <v>4.3031502325544655E-10</v>
      </c>
      <c r="L315" s="152">
        <v>1.9543777296306287E-9</v>
      </c>
      <c r="M315" s="33"/>
      <c r="U315" s="127">
        <v>1.9296912389327095E-9</v>
      </c>
      <c r="V315" s="127">
        <v>1.9543777296306287E-9</v>
      </c>
      <c r="W315" s="127">
        <v>1.9902811838372385E-9</v>
      </c>
      <c r="X315" s="128">
        <f t="shared" si="10"/>
        <v>1.9571819705078016E-9</v>
      </c>
      <c r="Y315" s="139">
        <f t="shared" si="11"/>
        <v>0.82139821473883923</v>
      </c>
      <c r="AA315" s="73"/>
      <c r="AB315" s="176"/>
      <c r="AC315" s="176"/>
      <c r="AD315" s="176"/>
      <c r="AJ315" s="136"/>
    </row>
    <row r="316" spans="9:36" x14ac:dyDescent="0.35">
      <c r="I316" s="109">
        <v>0.187981938141</v>
      </c>
      <c r="J316" s="109">
        <v>2.2284190452999268E-9</v>
      </c>
      <c r="K316" s="109">
        <v>4.6671029085152349E-10</v>
      </c>
      <c r="L316" s="152">
        <v>2.2231007031259136E-9</v>
      </c>
      <c r="M316" s="34"/>
      <c r="U316" s="127">
        <v>2.2202381612522239E-9</v>
      </c>
      <c r="V316" s="127">
        <v>2.2231007031259136E-9</v>
      </c>
      <c r="W316" s="127">
        <v>2.2236576945164922E-9</v>
      </c>
      <c r="X316" s="128">
        <f t="shared" si="10"/>
        <v>2.2225243155051358E-9</v>
      </c>
      <c r="Y316" s="139">
        <f t="shared" si="11"/>
        <v>1.5952657858553506E-4</v>
      </c>
      <c r="AA316" s="73"/>
      <c r="AB316" s="176"/>
      <c r="AC316" s="176"/>
      <c r="AD316" s="176"/>
      <c r="AJ316" s="136"/>
    </row>
    <row r="317" spans="9:36" x14ac:dyDescent="0.35">
      <c r="I317" s="109">
        <v>0.189861757523</v>
      </c>
      <c r="J317" s="109">
        <v>3.1788637636032361E-9</v>
      </c>
      <c r="K317" s="109">
        <v>5.3765543951552366E-10</v>
      </c>
      <c r="L317" s="152">
        <v>2.2105135924007719E-9</v>
      </c>
      <c r="M317" s="34"/>
      <c r="U317" s="127">
        <v>2.2246799827614971E-9</v>
      </c>
      <c r="V317" s="127">
        <v>2.2105135924007719E-9</v>
      </c>
      <c r="W317" s="127">
        <v>2.1917235739421616E-9</v>
      </c>
      <c r="X317" s="128">
        <f t="shared" si="10"/>
        <v>2.2093576853763004E-9</v>
      </c>
      <c r="Y317" s="139">
        <f t="shared" si="11"/>
        <v>3.251569075298594</v>
      </c>
      <c r="AA317" s="73"/>
      <c r="AB317" s="176"/>
      <c r="AC317" s="176"/>
      <c r="AD317" s="176"/>
      <c r="AJ317" s="136"/>
    </row>
    <row r="318" spans="9:36" x14ac:dyDescent="0.35">
      <c r="I318" s="109">
        <v>0.19176037509800001</v>
      </c>
      <c r="J318" s="109">
        <v>1.6095396976718873E-9</v>
      </c>
      <c r="K318" s="109">
        <v>4.8259399764257612E-10</v>
      </c>
      <c r="L318" s="152">
        <v>1.9234396132695234E-9</v>
      </c>
      <c r="M318" s="33"/>
      <c r="U318" s="127">
        <v>1.8887815462767875E-9</v>
      </c>
      <c r="V318" s="127">
        <v>1.9234396132695234E-9</v>
      </c>
      <c r="W318" s="127">
        <v>1.9465684320169993E-9</v>
      </c>
      <c r="X318" s="128">
        <f t="shared" si="10"/>
        <v>1.9205573012082083E-9</v>
      </c>
      <c r="Y318" s="139">
        <f t="shared" si="11"/>
        <v>0.41534224828251981</v>
      </c>
      <c r="AA318" s="73"/>
      <c r="AB318" s="176"/>
      <c r="AC318" s="176"/>
      <c r="AD318" s="176"/>
      <c r="AJ318" s="136"/>
    </row>
    <row r="319" spans="9:36" x14ac:dyDescent="0.35">
      <c r="I319" s="109">
        <v>0.19367797884900001</v>
      </c>
      <c r="J319" s="109">
        <v>2.5268816778606457E-9</v>
      </c>
      <c r="K319" s="109">
        <v>5.413141493900899E-10</v>
      </c>
      <c r="L319" s="152">
        <v>2.1681772007044045E-9</v>
      </c>
      <c r="M319" s="34"/>
      <c r="U319" s="127">
        <v>2.1410610117829471E-9</v>
      </c>
      <c r="V319" s="127">
        <v>2.1681772007044045E-9</v>
      </c>
      <c r="W319" s="127">
        <v>2.1694419235171573E-9</v>
      </c>
      <c r="X319" s="128">
        <f t="shared" si="10"/>
        <v>2.1617143341772282E-9</v>
      </c>
      <c r="Y319" s="139">
        <f t="shared" si="11"/>
        <v>0.45507723030788855</v>
      </c>
      <c r="AA319" s="73"/>
      <c r="AB319" s="176"/>
      <c r="AC319" s="176"/>
      <c r="AD319" s="176"/>
      <c r="AJ319" s="136"/>
    </row>
    <row r="320" spans="9:36" x14ac:dyDescent="0.35">
      <c r="I320" s="109">
        <v>0.19561475863700001</v>
      </c>
      <c r="J320" s="109">
        <v>2.5249799184679157E-9</v>
      </c>
      <c r="K320" s="109">
        <v>5.0521368739801772E-10</v>
      </c>
      <c r="L320" s="152">
        <v>2.0860390533779592E-9</v>
      </c>
      <c r="M320" s="34"/>
      <c r="U320" s="127">
        <v>2.1330967252693542E-9</v>
      </c>
      <c r="V320" s="127">
        <v>2.0860390533779592E-9</v>
      </c>
      <c r="W320" s="127">
        <v>2.0357168901183192E-9</v>
      </c>
      <c r="X320" s="128">
        <f t="shared" si="10"/>
        <v>2.0852229305358976E-9</v>
      </c>
      <c r="Y320" s="139">
        <f t="shared" si="11"/>
        <v>0.75766160993268017</v>
      </c>
      <c r="AA320" s="73"/>
      <c r="AB320" s="176"/>
      <c r="AC320" s="176"/>
      <c r="AD320" s="176"/>
      <c r="AJ320" s="136"/>
    </row>
    <row r="321" spans="9:36" x14ac:dyDescent="0.35">
      <c r="I321" s="109">
        <v>0.197570906224</v>
      </c>
      <c r="J321" s="109">
        <v>1.9668234075468686E-9</v>
      </c>
      <c r="K321" s="109">
        <v>5.2999763594860012E-10</v>
      </c>
      <c r="L321" s="152">
        <v>1.8721847565295134E-9</v>
      </c>
      <c r="M321" s="33"/>
      <c r="U321" s="127">
        <v>1.8441273741428079E-9</v>
      </c>
      <c r="V321" s="127">
        <v>1.8721847565295134E-9</v>
      </c>
      <c r="W321" s="127">
        <v>1.9050634655205146E-9</v>
      </c>
      <c r="X321" s="128">
        <f t="shared" si="10"/>
        <v>1.8733900881805874E-9</v>
      </c>
      <c r="Y321" s="139">
        <f t="shared" si="11"/>
        <v>3.107818813203287E-2</v>
      </c>
      <c r="AA321" s="73"/>
      <c r="AB321" s="176"/>
      <c r="AC321" s="176"/>
      <c r="AD321" s="176"/>
      <c r="AJ321" s="136"/>
    </row>
    <row r="322" spans="9:36" x14ac:dyDescent="0.35">
      <c r="I322" s="109">
        <v>0.19954661528600001</v>
      </c>
      <c r="J322" s="109">
        <v>1.4359089515371184E-9</v>
      </c>
      <c r="K322" s="109">
        <v>5.0137593063462015E-10</v>
      </c>
      <c r="L322" s="152">
        <v>2.0883610667309851E-9</v>
      </c>
      <c r="M322" s="34"/>
      <c r="U322" s="127">
        <v>2.0724292834894765E-9</v>
      </c>
      <c r="V322" s="127">
        <v>2.0883610667309851E-9</v>
      </c>
      <c r="W322" s="127">
        <v>2.0815577654158691E-9</v>
      </c>
      <c r="X322" s="128">
        <f t="shared" si="10"/>
        <v>2.0826772955918288E-9</v>
      </c>
      <c r="Y322" s="139">
        <f t="shared" si="11"/>
        <v>1.664066004371376</v>
      </c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930.51854293218196</v>
      </c>
      <c r="C2" s="165">
        <f>dDstack!D4</f>
        <v>110.94055849708519</v>
      </c>
      <c r="D2" s="169"/>
    </row>
    <row r="3" spans="1:4" ht="18" x14ac:dyDescent="0.35">
      <c r="A3" s="93" t="s">
        <v>628</v>
      </c>
      <c r="B3" s="165">
        <f>Reflectivity!H10</f>
        <v>1120.2183134837669</v>
      </c>
      <c r="C3" s="165">
        <f>dTotal!D4</f>
        <v>14.586787756566304</v>
      </c>
      <c r="D3" s="169"/>
    </row>
    <row r="4" spans="1:4" ht="18" x14ac:dyDescent="0.35">
      <c r="A4" s="93" t="s">
        <v>629</v>
      </c>
      <c r="B4" s="165">
        <f>B3-B2</f>
        <v>189.69977055158495</v>
      </c>
      <c r="C4" s="165">
        <f>SQRT(C2^2+C3^2)</f>
        <v>111.89540605717598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6.1687442778200738</v>
      </c>
      <c r="C6" s="165">
        <f>sigDstack!D4</f>
        <v>11.653705505433933</v>
      </c>
      <c r="D6" s="169"/>
    </row>
    <row r="7" spans="1:4" ht="18" x14ac:dyDescent="0.35">
      <c r="A7" s="93" t="s">
        <v>624</v>
      </c>
      <c r="B7" s="165">
        <f>Reflectivity!G5</f>
        <v>189.69977055158495</v>
      </c>
      <c r="C7" s="165">
        <f>sigHstack!D4</f>
        <v>289.22030207686288</v>
      </c>
      <c r="D7" s="167"/>
    </row>
    <row r="9" spans="1:4" ht="18" x14ac:dyDescent="0.35">
      <c r="A9" s="93" t="s">
        <v>622</v>
      </c>
      <c r="B9" s="167">
        <f>Reflectivity!H18</f>
        <v>0.30776416582586147</v>
      </c>
      <c r="C9" s="167">
        <f>'f_d^D'!D4</f>
        <v>4.3034171108439434E-2</v>
      </c>
      <c r="D9" s="165"/>
    </row>
    <row r="10" spans="1:4" ht="18" x14ac:dyDescent="0.35">
      <c r="A10" s="93" t="s">
        <v>619</v>
      </c>
      <c r="B10" s="167">
        <f>Reflectivity!H20</f>
        <v>0.13015447010308995</v>
      </c>
      <c r="C10" s="167">
        <f>'f_d^H'!D4</f>
        <v>8.5018132693224613E-2</v>
      </c>
      <c r="D10" s="165"/>
    </row>
    <row r="11" spans="1:4" ht="18" x14ac:dyDescent="0.35">
      <c r="A11" s="93" t="s">
        <v>616</v>
      </c>
      <c r="B11" s="167">
        <f>Reflectivity!H16</f>
        <v>0.24069629974121684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1.210589058721542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2.0900427920615892E-6</v>
      </c>
      <c r="C14" s="168">
        <f>SQRT(C12^2*B15^2+C11^2*B16^2+C9^2*B17^2)</f>
        <v>1.2137871617593787E-7</v>
      </c>
      <c r="D14" s="168">
        <f>NbDstack!D4</f>
        <v>6.6532564040770261E-8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1.7264676043485851E-6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9.3784425382988006E-7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1.656577982463461E-6</v>
      </c>
      <c r="C17" s="168"/>
      <c r="D17" s="167"/>
    </row>
    <row r="19" spans="1:4" ht="18" x14ac:dyDescent="0.35">
      <c r="A19" s="93" t="s">
        <v>637</v>
      </c>
      <c r="B19" s="168">
        <f>Reflectivity!C5</f>
        <v>1.7958184806552113E-6</v>
      </c>
      <c r="C19" s="168">
        <f>SQRT(C12^2*B20^2+C11^2*B21^2+C10^2*B22^2)</f>
        <v>1.5981070306206299E-7</v>
      </c>
      <c r="D19" s="168">
        <f>NbHstack!D4</f>
        <v>1.404908898957405E-7</v>
      </c>
    </row>
    <row r="20" spans="1:4" ht="18" x14ac:dyDescent="0.35">
      <c r="A20" s="93" t="s">
        <v>638</v>
      </c>
      <c r="B20" s="168">
        <f>B19/B12</f>
        <v>1.483425335556649E-6</v>
      </c>
      <c r="C20" s="168"/>
      <c r="D20" s="167"/>
    </row>
    <row r="21" spans="1:4" ht="18" x14ac:dyDescent="0.35">
      <c r="A21" s="93" t="s">
        <v>639</v>
      </c>
      <c r="B21" s="168">
        <f>B12*(-Reflectivity!C16+(1-B10)*Reflectivity!D16+B10*(Reflectivity!E18/Reflectivity!D18)*Reflectivity!E16)</f>
        <v>-2.8454392464528333E-7</v>
      </c>
      <c r="C21" s="168"/>
      <c r="D21" s="167"/>
    </row>
    <row r="22" spans="1:4" ht="18" x14ac:dyDescent="0.35">
      <c r="A22" s="93" t="s">
        <v>640</v>
      </c>
      <c r="B22" s="168">
        <f>B12*B11*(-Reflectivity!D16+(Reflectivity!E18/Reflectivity!D18)*Reflectivity!E16)</f>
        <v>1.656577982463461E-6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1110</v>
      </c>
      <c r="C2" s="105">
        <v>1130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1110</v>
      </c>
      <c r="B4" s="94">
        <v>2.4420024898562227</v>
      </c>
      <c r="C4" s="106">
        <v>1120.2183134837669</v>
      </c>
      <c r="D4" s="106">
        <v>14.586787756566304</v>
      </c>
    </row>
    <row r="5" spans="1:5" x14ac:dyDescent="0.35">
      <c r="A5" s="106">
        <v>1114</v>
      </c>
      <c r="B5" s="94">
        <v>2.1211183354334793</v>
      </c>
      <c r="C5" s="94"/>
      <c r="D5" s="94"/>
    </row>
    <row r="6" spans="1:5" x14ac:dyDescent="0.35">
      <c r="A6" s="106">
        <v>1118</v>
      </c>
      <c r="B6" s="94">
        <v>1.9636980921028195</v>
      </c>
      <c r="C6" s="94"/>
      <c r="D6" s="94"/>
    </row>
    <row r="7" spans="1:5" x14ac:dyDescent="0.35">
      <c r="A7" s="106">
        <v>1122</v>
      </c>
      <c r="B7" s="94">
        <v>1.9647776502910839</v>
      </c>
      <c r="C7" s="94"/>
      <c r="D7" s="94"/>
    </row>
    <row r="8" spans="1:5" x14ac:dyDescent="0.35">
      <c r="A8" s="106">
        <v>1126</v>
      </c>
      <c r="B8" s="94">
        <v>2.1122391262921103</v>
      </c>
      <c r="C8" s="94"/>
      <c r="D8" s="94"/>
    </row>
    <row r="9" spans="1:5" x14ac:dyDescent="0.35">
      <c r="A9" s="106">
        <v>1130</v>
      </c>
      <c r="B9" s="94">
        <v>2.3896562685062719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9.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850</v>
      </c>
      <c r="C2" s="105">
        <v>1010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850</v>
      </c>
      <c r="B4" s="94">
        <v>2.4357065897934023</v>
      </c>
      <c r="C4" s="106">
        <v>930.51854293218196</v>
      </c>
      <c r="D4" s="106">
        <v>110.94055849708519</v>
      </c>
    </row>
    <row r="5" spans="1:5" x14ac:dyDescent="0.35">
      <c r="A5" s="106">
        <v>882</v>
      </c>
      <c r="B5" s="94">
        <v>2.2758516428375923</v>
      </c>
      <c r="C5" s="94"/>
      <c r="D5" s="94"/>
    </row>
    <row r="6" spans="1:5" x14ac:dyDescent="0.35">
      <c r="A6" s="106">
        <v>914</v>
      </c>
      <c r="B6" s="94">
        <v>2.0894526732023899</v>
      </c>
      <c r="C6" s="94"/>
      <c r="D6" s="94"/>
    </row>
    <row r="7" spans="1:5" x14ac:dyDescent="0.35">
      <c r="A7" s="106">
        <v>946</v>
      </c>
      <c r="B7" s="94">
        <v>1.9518976144170281</v>
      </c>
      <c r="C7" s="94"/>
      <c r="D7" s="94"/>
    </row>
    <row r="8" spans="1:5" x14ac:dyDescent="0.35">
      <c r="A8" s="106">
        <v>978</v>
      </c>
      <c r="B8" s="94">
        <v>2.0318481939804602</v>
      </c>
      <c r="C8" s="94"/>
      <c r="D8" s="94"/>
    </row>
    <row r="9" spans="1:5" x14ac:dyDescent="0.35">
      <c r="A9" s="106">
        <v>1010</v>
      </c>
      <c r="B9" s="94">
        <v>2.5907448848196757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0.28999999999999998</v>
      </c>
      <c r="C2" s="162">
        <v>0.35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0.28999999999999998</v>
      </c>
      <c r="B4" s="94">
        <v>2.1350753398012192</v>
      </c>
      <c r="C4" s="161">
        <v>0.30776416582586147</v>
      </c>
      <c r="D4" s="161">
        <v>4.3034171108439434E-2</v>
      </c>
    </row>
    <row r="5" spans="1:5" x14ac:dyDescent="0.35">
      <c r="A5" s="161">
        <v>0.30199999999999999</v>
      </c>
      <c r="B5" s="94">
        <v>1.9957192653387599</v>
      </c>
      <c r="C5" s="94"/>
      <c r="D5" s="94"/>
    </row>
    <row r="6" spans="1:5" x14ac:dyDescent="0.35">
      <c r="A6" s="161">
        <v>0.314</v>
      </c>
      <c r="B6" s="94">
        <v>1.9953101043986397</v>
      </c>
      <c r="C6" s="94"/>
      <c r="D6" s="94"/>
    </row>
    <row r="7" spans="1:5" x14ac:dyDescent="0.35">
      <c r="A7" s="161">
        <v>0.32599999999999996</v>
      </c>
      <c r="B7" s="94">
        <v>2.1453190080586548</v>
      </c>
      <c r="C7" s="94"/>
      <c r="D7" s="94"/>
    </row>
    <row r="8" spans="1:5" x14ac:dyDescent="0.35">
      <c r="A8" s="161">
        <v>0.33799999999999997</v>
      </c>
      <c r="B8" s="94">
        <v>2.456306030915349</v>
      </c>
      <c r="C8" s="94"/>
      <c r="D8" s="94"/>
    </row>
    <row r="9" spans="1:5" x14ac:dyDescent="0.35">
      <c r="A9" s="161">
        <v>0.35</v>
      </c>
      <c r="B9" s="94">
        <v>2.9387036109873876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636</v>
      </c>
      <c r="B2" s="162">
        <v>0.08</v>
      </c>
      <c r="C2" s="162">
        <v>0.18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0.08</v>
      </c>
      <c r="B4" s="94">
        <v>2.3247122768218644</v>
      </c>
      <c r="C4" s="161">
        <v>0.13015447010308995</v>
      </c>
      <c r="D4" s="161">
        <v>8.5018132693224613E-2</v>
      </c>
    </row>
    <row r="5" spans="1:5" x14ac:dyDescent="0.35">
      <c r="A5" s="161">
        <v>0.1</v>
      </c>
      <c r="B5" s="94">
        <v>2.1015713446317004</v>
      </c>
      <c r="C5" s="94"/>
      <c r="D5" s="94"/>
    </row>
    <row r="6" spans="1:5" x14ac:dyDescent="0.35">
      <c r="A6" s="161">
        <v>0.12</v>
      </c>
      <c r="B6" s="94">
        <v>1.9902611965527319</v>
      </c>
      <c r="C6" s="94"/>
      <c r="D6" s="94"/>
    </row>
    <row r="7" spans="1:5" x14ac:dyDescent="0.35">
      <c r="A7" s="161">
        <v>0.13999999999999999</v>
      </c>
      <c r="B7" s="94">
        <v>1.9900419400511082</v>
      </c>
      <c r="C7" s="94"/>
      <c r="D7" s="94"/>
    </row>
    <row r="8" spans="1:5" x14ac:dyDescent="0.35">
      <c r="A8" s="161">
        <v>0.15999999999999998</v>
      </c>
      <c r="B8" s="94">
        <v>2.1000823336475483</v>
      </c>
      <c r="C8" s="94"/>
      <c r="D8" s="94"/>
    </row>
    <row r="9" spans="1:5" x14ac:dyDescent="0.35">
      <c r="A9" s="161">
        <v>0.18</v>
      </c>
      <c r="B9" s="94">
        <v>2.3196657033781882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4</v>
      </c>
      <c r="C2" s="105">
        <v>12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</v>
      </c>
      <c r="B4" s="94">
        <v>1.9939824154672032</v>
      </c>
      <c r="C4" s="106">
        <v>6.1687442778200738</v>
      </c>
      <c r="D4" s="106">
        <v>11.653705505433933</v>
      </c>
    </row>
    <row r="5" spans="1:5" x14ac:dyDescent="0.35">
      <c r="A5" s="106">
        <v>5.6</v>
      </c>
      <c r="B5" s="94">
        <v>1.9769415412915823</v>
      </c>
      <c r="C5" s="94"/>
      <c r="D5" s="94"/>
    </row>
    <row r="6" spans="1:5" x14ac:dyDescent="0.35">
      <c r="A6" s="106">
        <v>7.2</v>
      </c>
      <c r="B6" s="94">
        <v>1.977930005568699</v>
      </c>
      <c r="C6" s="94"/>
      <c r="D6" s="94"/>
    </row>
    <row r="7" spans="1:5" x14ac:dyDescent="0.35">
      <c r="A7" s="106">
        <v>8.8000000000000007</v>
      </c>
      <c r="B7" s="94">
        <v>2.0112946402916148</v>
      </c>
      <c r="C7" s="94"/>
      <c r="D7" s="94"/>
    </row>
    <row r="8" spans="1:5" x14ac:dyDescent="0.35">
      <c r="A8" s="106">
        <v>10.4</v>
      </c>
      <c r="B8" s="94">
        <v>2.0895145700072373</v>
      </c>
      <c r="C8" s="94"/>
      <c r="D8" s="94"/>
    </row>
    <row r="9" spans="1:5" x14ac:dyDescent="0.35">
      <c r="A9" s="106">
        <v>12</v>
      </c>
      <c r="B9" s="94">
        <v>2.2218087824050201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B3" sqref="B3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50</v>
      </c>
      <c r="C2" s="105">
        <v>450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2.6335203529051237</v>
      </c>
      <c r="C4" s="106">
        <v>263.29800248279753</v>
      </c>
      <c r="D4" s="106">
        <v>289.22030207686288</v>
      </c>
    </row>
    <row r="5" spans="1:5" x14ac:dyDescent="0.35">
      <c r="A5" s="106">
        <v>130</v>
      </c>
      <c r="B5" s="94">
        <v>1.9636641646058479</v>
      </c>
      <c r="C5" s="94"/>
      <c r="D5" s="94"/>
    </row>
    <row r="6" spans="1:5" x14ac:dyDescent="0.35">
      <c r="A6" s="106">
        <v>210</v>
      </c>
      <c r="B6" s="94">
        <v>1.9879112699950023</v>
      </c>
      <c r="C6" s="94"/>
      <c r="D6" s="94"/>
    </row>
    <row r="7" spans="1:5" x14ac:dyDescent="0.35">
      <c r="A7" s="106">
        <v>290</v>
      </c>
      <c r="B7" s="94">
        <v>2.0815612981792655</v>
      </c>
      <c r="C7" s="94"/>
      <c r="D7" s="94"/>
    </row>
    <row r="8" spans="1:5" x14ac:dyDescent="0.35">
      <c r="A8" s="106">
        <v>370</v>
      </c>
      <c r="B8" s="94">
        <v>2.179032465064044</v>
      </c>
      <c r="C8" s="94"/>
      <c r="D8" s="94"/>
    </row>
    <row r="9" spans="1:5" x14ac:dyDescent="0.35">
      <c r="A9" s="106">
        <v>450</v>
      </c>
      <c r="B9" s="94">
        <v>2.3075173566278275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1.9700000000000002E-6</v>
      </c>
      <c r="C2" s="119">
        <v>2.17E-6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1.9700000000000002E-6</v>
      </c>
      <c r="B4" s="94">
        <v>2.289615211427503</v>
      </c>
      <c r="C4" s="99">
        <v>2.048656786056501E-6</v>
      </c>
      <c r="D4" s="99">
        <v>1.2844036960247134E-7</v>
      </c>
    </row>
    <row r="5" spans="1:5" x14ac:dyDescent="0.35">
      <c r="A5" s="99">
        <v>2.0100000000000002E-6</v>
      </c>
      <c r="B5" s="94">
        <v>2.071895739827263</v>
      </c>
      <c r="C5" s="94"/>
      <c r="D5" s="94"/>
    </row>
    <row r="6" spans="1:5" x14ac:dyDescent="0.35">
      <c r="A6" s="99">
        <v>2.0500000000000003E-6</v>
      </c>
      <c r="B6" s="94">
        <v>1.9705728142216974</v>
      </c>
      <c r="C6" s="94"/>
      <c r="D6" s="94"/>
    </row>
    <row r="7" spans="1:5" x14ac:dyDescent="0.35">
      <c r="A7" s="99">
        <v>2.0899999999999999E-6</v>
      </c>
      <c r="B7" s="94">
        <v>2.0255935797193807</v>
      </c>
      <c r="C7" s="94"/>
      <c r="D7" s="94"/>
    </row>
    <row r="8" spans="1:5" x14ac:dyDescent="0.35">
      <c r="A8" s="99">
        <v>2.1299999999999999E-6</v>
      </c>
      <c r="B8" s="94">
        <v>2.2978740649213814</v>
      </c>
      <c r="C8" s="94"/>
      <c r="D8" s="94"/>
    </row>
    <row r="9" spans="1:5" x14ac:dyDescent="0.35">
      <c r="A9" s="99">
        <v>2.17E-6</v>
      </c>
      <c r="B9" s="94">
        <v>2.8675346760778333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2.0499999999999999E-6</v>
      </c>
      <c r="C2" s="119">
        <v>2.2500000000000001E-6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2.0499999999999999E-6</v>
      </c>
      <c r="B4" s="94">
        <v>2.2552597408251911</v>
      </c>
      <c r="C4" s="99">
        <v>2.0917611243195796E-6</v>
      </c>
      <c r="D4" s="99">
        <v>6.6532564040770261E-8</v>
      </c>
    </row>
    <row r="5" spans="1:5" x14ac:dyDescent="0.35">
      <c r="A5" s="99">
        <v>2.0899999999999999E-6</v>
      </c>
      <c r="B5" s="94">
        <v>1.9714081442611571</v>
      </c>
      <c r="C5" s="94"/>
      <c r="D5" s="94"/>
    </row>
    <row r="6" spans="1:5" x14ac:dyDescent="0.35">
      <c r="A6" s="99">
        <v>2.1299999999999999E-6</v>
      </c>
      <c r="B6" s="94">
        <v>2.2759649930230363</v>
      </c>
      <c r="C6" s="94"/>
      <c r="D6" s="94"/>
    </row>
    <row r="7" spans="1:5" x14ac:dyDescent="0.35">
      <c r="A7" s="99">
        <v>2.17E-6</v>
      </c>
      <c r="B7" s="94">
        <v>3.2549353780618424</v>
      </c>
      <c r="C7" s="94"/>
      <c r="D7" s="94"/>
    </row>
    <row r="8" spans="1:5" x14ac:dyDescent="0.35">
      <c r="A8" s="99">
        <v>2.21E-6</v>
      </c>
      <c r="B8" s="94">
        <v>4.9975095471653246</v>
      </c>
      <c r="C8" s="94"/>
      <c r="D8" s="94"/>
    </row>
    <row r="9" spans="1:5" x14ac:dyDescent="0.35">
      <c r="A9" s="99">
        <v>2.2500000000000001E-6</v>
      </c>
      <c r="B9" s="94">
        <v>7.6115142212369618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1.7799999999999999E-6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1.9908469351422518</v>
      </c>
      <c r="C4" s="99">
        <v>1.800000558413364E-6</v>
      </c>
      <c r="D4" s="99">
        <v>1.404908898957405E-7</v>
      </c>
    </row>
    <row r="5" spans="1:5" x14ac:dyDescent="0.35">
      <c r="A5" s="99">
        <v>1.792E-6</v>
      </c>
      <c r="B5" s="94">
        <v>1.9737609696675773</v>
      </c>
      <c r="C5" s="94"/>
      <c r="D5" s="94"/>
    </row>
    <row r="6" spans="1:5" x14ac:dyDescent="0.35">
      <c r="A6" s="99">
        <v>1.804E-6</v>
      </c>
      <c r="B6" s="94">
        <v>1.9713446627892421</v>
      </c>
      <c r="C6" s="94"/>
      <c r="D6" s="94"/>
    </row>
    <row r="7" spans="1:5" x14ac:dyDescent="0.35">
      <c r="A7" s="99">
        <v>1.8159999999999999E-6</v>
      </c>
      <c r="B7" s="94">
        <v>1.9835443692813532</v>
      </c>
      <c r="C7" s="94"/>
      <c r="D7" s="94"/>
    </row>
    <row r="8" spans="1:5" x14ac:dyDescent="0.35">
      <c r="A8" s="99">
        <v>1.8279999999999999E-6</v>
      </c>
      <c r="B8" s="94">
        <v>2.0103087407852782</v>
      </c>
      <c r="C8" s="94"/>
      <c r="D8" s="94"/>
    </row>
    <row r="9" spans="1:5" x14ac:dyDescent="0.35">
      <c r="A9" s="99">
        <v>1.84E-6</v>
      </c>
      <c r="B9" s="94">
        <v>2.0515899209416069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21AF-3015-433A-8028-A55FD2457023}">
  <sheetPr codeName="Sheet4"/>
  <dimension ref="A1:AY495"/>
  <sheetViews>
    <sheetView workbookViewId="0"/>
  </sheetViews>
  <sheetFormatPr defaultRowHeight="15.5" x14ac:dyDescent="0.35"/>
  <cols>
    <col min="1" max="1" width="4.1640625" bestFit="1" customWidth="1"/>
    <col min="2" max="2" width="14.9140625" style="1" bestFit="1" customWidth="1"/>
    <col min="3" max="3" width="16.9140625" style="1" bestFit="1" customWidth="1"/>
    <col min="4" max="4" width="28.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75" style="1" customWidth="1"/>
    <col min="17" max="17" width="5.5" style="1" customWidth="1"/>
    <col min="18" max="18" width="8.33203125" style="1" customWidth="1"/>
    <col min="19" max="19" width="1.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75" customWidth="1"/>
    <col min="67" max="67" width="8.58203125" customWidth="1"/>
    <col min="68" max="68" width="13" customWidth="1"/>
    <col min="69" max="69" width="3.7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7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75" customWidth="1"/>
    <col min="90" max="90" width="8.58203125" customWidth="1"/>
    <col min="91" max="91" width="13" customWidth="1"/>
    <col min="92" max="92" width="3.7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7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643</v>
      </c>
      <c r="D1" s="86" t="s">
        <v>547</v>
      </c>
      <c r="E1" s="86">
        <v>161610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644</v>
      </c>
      <c r="E4" s="1" t="s">
        <v>645</v>
      </c>
      <c r="F4" s="1">
        <v>3</v>
      </c>
      <c r="G4" s="117">
        <v>0.66831018518518526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161610</v>
      </c>
      <c r="C8" s="1">
        <v>161423</v>
      </c>
      <c r="D8" s="1">
        <v>1.2441800000000001</v>
      </c>
      <c r="E8" s="1">
        <v>13.2996</v>
      </c>
      <c r="F8" s="1">
        <v>16.700600000000001</v>
      </c>
      <c r="G8" s="1">
        <v>8.0999999999999996E-3</v>
      </c>
      <c r="H8" s="1">
        <v>1.0200000000000001E-2</v>
      </c>
      <c r="I8" s="1">
        <v>1</v>
      </c>
      <c r="J8" s="1">
        <v>0</v>
      </c>
      <c r="K8" s="1">
        <v>0.97960000000000003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161611</v>
      </c>
      <c r="C9" s="1">
        <v>161424</v>
      </c>
      <c r="D9" s="1">
        <v>1.2422299999999999</v>
      </c>
      <c r="E9" s="1">
        <v>10.6861</v>
      </c>
      <c r="F9" s="1">
        <v>14.0861</v>
      </c>
      <c r="G9" s="1">
        <v>9.5999999999999992E-3</v>
      </c>
      <c r="H9" s="1">
        <v>1.2699999999999999E-2</v>
      </c>
      <c r="I9" s="1">
        <v>1</v>
      </c>
      <c r="J9" s="1">
        <v>0</v>
      </c>
      <c r="K9" s="1">
        <v>0.98570000000000002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161612</v>
      </c>
      <c r="C10" s="1">
        <v>161425</v>
      </c>
      <c r="D10" s="1">
        <v>1.24373</v>
      </c>
      <c r="E10" s="1">
        <v>8.0400399999999994</v>
      </c>
      <c r="F10" s="1">
        <v>11.440099999999999</v>
      </c>
      <c r="G10" s="1">
        <v>1.1900000000000001E-2</v>
      </c>
      <c r="H10" s="1">
        <v>1.6899999999999998E-2</v>
      </c>
      <c r="I10" s="1">
        <v>4.68</v>
      </c>
      <c r="J10" s="1">
        <v>-7.266</v>
      </c>
      <c r="K10" s="1">
        <v>0.98119999999999996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161613</v>
      </c>
      <c r="C11" s="1">
        <v>161426</v>
      </c>
      <c r="D11" s="1">
        <v>1.2422299999999999</v>
      </c>
      <c r="E11" s="1">
        <v>5.3430299999999997</v>
      </c>
      <c r="F11" s="1">
        <v>8.7430400000000006</v>
      </c>
      <c r="G11" s="1">
        <v>1.55E-2</v>
      </c>
      <c r="H11" s="1">
        <v>2.5399999999999999E-2</v>
      </c>
      <c r="I11" s="1">
        <v>29.2</v>
      </c>
      <c r="J11" s="1">
        <v>-1.079</v>
      </c>
      <c r="K11" s="1">
        <v>0.97370000000000001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161614</v>
      </c>
      <c r="C12" s="1">
        <v>161427</v>
      </c>
      <c r="D12" s="1">
        <v>1.24373</v>
      </c>
      <c r="E12" s="1">
        <v>2.5500099999999999</v>
      </c>
      <c r="F12" s="1">
        <v>5.9500299999999999</v>
      </c>
      <c r="G12" s="1">
        <v>2.29E-2</v>
      </c>
      <c r="H12" s="1">
        <v>5.3400000000000003E-2</v>
      </c>
      <c r="I12" s="1">
        <v>113</v>
      </c>
      <c r="J12" s="1">
        <v>8.0000000000000004E-4</v>
      </c>
      <c r="K12" s="1">
        <v>0.94379999999999997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161615</v>
      </c>
      <c r="C13" s="1">
        <v>161427</v>
      </c>
      <c r="D13" s="1">
        <v>2.4102999999999999</v>
      </c>
      <c r="E13" s="1">
        <v>2.5500099999999999</v>
      </c>
      <c r="F13" s="1">
        <v>5.9500299999999999</v>
      </c>
      <c r="G13" s="1">
        <v>4.4400000000000002E-2</v>
      </c>
      <c r="H13" s="1">
        <v>0.1036</v>
      </c>
      <c r="I13" s="1">
        <v>342</v>
      </c>
      <c r="J13" s="1">
        <v>4.3E-3</v>
      </c>
      <c r="K13" s="1">
        <v>0.83579999999999999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161616</v>
      </c>
      <c r="C14" s="1">
        <v>161427</v>
      </c>
      <c r="D14" s="1">
        <v>4.7305200000000003</v>
      </c>
      <c r="E14" s="1">
        <v>2.5500099999999999</v>
      </c>
      <c r="F14" s="1">
        <v>5.9500299999999999</v>
      </c>
      <c r="G14" s="1">
        <v>8.7099999999999997E-2</v>
      </c>
      <c r="H14" s="1">
        <v>0.20330000000000001</v>
      </c>
      <c r="I14" s="1">
        <v>1400</v>
      </c>
      <c r="J14" s="1">
        <v>1.43E-2</v>
      </c>
      <c r="K14" s="1">
        <v>0.75270000000000004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646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161610</v>
      </c>
      <c r="D22" s="1">
        <v>161423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1.18181497199</v>
      </c>
      <c r="K22" s="1">
        <v>6012</v>
      </c>
      <c r="L22" s="1">
        <v>68.326819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161611</v>
      </c>
      <c r="D23" s="1">
        <v>161424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1.18181497199</v>
      </c>
      <c r="K23" s="1">
        <v>6038</v>
      </c>
      <c r="L23" s="1">
        <v>64.755055999999996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161612</v>
      </c>
      <c r="D24" s="1">
        <v>161425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1.18181497199</v>
      </c>
      <c r="K24" s="1">
        <v>6015</v>
      </c>
      <c r="L24" s="1">
        <v>98.933356000000003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161613</v>
      </c>
      <c r="D25" s="1">
        <v>161426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1.18181497199</v>
      </c>
      <c r="K25" s="1">
        <v>6014</v>
      </c>
      <c r="L25" s="1">
        <v>85.877913000000007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161614</v>
      </c>
      <c r="D26" s="1">
        <v>161427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5.1799999999999999E-2</v>
      </c>
      <c r="J26" s="1">
        <v>1.18181497199</v>
      </c>
      <c r="K26" s="1">
        <v>18022</v>
      </c>
      <c r="L26" s="1">
        <v>407.27772599999997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161615</v>
      </c>
      <c r="D27" s="1">
        <v>161427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1.18181497199</v>
      </c>
      <c r="K27" s="1">
        <v>18007</v>
      </c>
      <c r="L27" s="1">
        <v>1178.555973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161616</v>
      </c>
      <c r="D28" s="1">
        <v>161427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0.20169999999999999</v>
      </c>
      <c r="J28" s="1">
        <v>1.18181497199</v>
      </c>
      <c r="K28" s="1">
        <v>36003</v>
      </c>
      <c r="L28" s="1">
        <v>2482.393384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123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194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8.2642749047700005E-3</v>
      </c>
      <c r="B41" s="1">
        <v>1.0487557414599999</v>
      </c>
      <c r="C41" s="1">
        <v>0.117786506695</v>
      </c>
      <c r="D41" s="1">
        <v>5.9007832281000004E-4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8.3469176538099998E-3</v>
      </c>
      <c r="B42" s="1">
        <v>1.14791794586</v>
      </c>
      <c r="C42" s="1">
        <v>0.116773815595</v>
      </c>
      <c r="D42" s="1">
        <v>5.9197910603799996E-4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8.4303868303500003E-3</v>
      </c>
      <c r="B43" s="1">
        <v>1.0395852057099999</v>
      </c>
      <c r="C43" s="1">
        <v>0.102159384215</v>
      </c>
      <c r="D43" s="1">
        <v>5.9389889709799998E-4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8.5146906986500008E-3</v>
      </c>
      <c r="B44" s="1">
        <v>1.0619256199</v>
      </c>
      <c r="C44" s="1">
        <v>0.101287378911</v>
      </c>
      <c r="D44" s="1">
        <v>5.9583788606899996E-4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8.5998376056400008E-3</v>
      </c>
      <c r="B45" s="1">
        <v>0.895973389176</v>
      </c>
      <c r="C45" s="1">
        <v>9.1314769656499997E-2</v>
      </c>
      <c r="D45" s="1">
        <v>5.9779626492999997E-4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8.6858359817000002E-3</v>
      </c>
      <c r="B46" s="1">
        <v>1.01183836254</v>
      </c>
      <c r="C46" s="1">
        <v>8.9094085697100006E-2</v>
      </c>
      <c r="D46" s="1">
        <v>5.9977422757899999E-4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8.7726943415100001E-3</v>
      </c>
      <c r="B47" s="1">
        <v>0.99344331282300002</v>
      </c>
      <c r="C47" s="1">
        <v>8.6798704174399999E-2</v>
      </c>
      <c r="D47" s="1">
        <v>6.0177196985499999E-4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8.86042128493E-3</v>
      </c>
      <c r="B48" s="1">
        <v>1.0004737211800001</v>
      </c>
      <c r="C48" s="1">
        <v>8.3598329502600002E-2</v>
      </c>
      <c r="D48" s="1">
        <v>6.0378968955299996E-4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8.9490254977800006E-3</v>
      </c>
      <c r="B49" s="1">
        <v>1.1407055539399999</v>
      </c>
      <c r="C49" s="1">
        <v>8.5116909794799994E-2</v>
      </c>
      <c r="D49" s="1">
        <v>6.0582758644900001E-4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9.0385157527600006E-3</v>
      </c>
      <c r="B50" s="1">
        <v>1.0316352902399999</v>
      </c>
      <c r="C50" s="1">
        <v>7.9432037491500004E-2</v>
      </c>
      <c r="D50" s="1">
        <v>6.0788586231300004E-4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9.1289009102799995E-3</v>
      </c>
      <c r="B51" s="1">
        <v>1.03755658913</v>
      </c>
      <c r="C51" s="1">
        <v>7.5483803459700002E-2</v>
      </c>
      <c r="D51" s="1">
        <v>6.0996472093700004E-4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9.2201899193900001E-3</v>
      </c>
      <c r="B52" s="1">
        <v>0.74473710246400004</v>
      </c>
      <c r="C52" s="1">
        <v>6.44542552252E-2</v>
      </c>
      <c r="D52" s="1">
        <v>6.1206436814599996E-4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9.3123918185800004E-3</v>
      </c>
      <c r="B53" s="1">
        <v>1.05620415634</v>
      </c>
      <c r="C53" s="1">
        <v>7.0748009649499996E-2</v>
      </c>
      <c r="D53" s="1">
        <v>6.1418501182700005E-4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9.4055157367700006E-3</v>
      </c>
      <c r="B54" s="1">
        <v>1.0640080658</v>
      </c>
      <c r="C54" s="1">
        <v>7.0626262845200002E-2</v>
      </c>
      <c r="D54" s="1">
        <v>6.1632686194599997E-4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9.4995708941299998E-3</v>
      </c>
      <c r="B55" s="1">
        <v>1.0252976925699999</v>
      </c>
      <c r="C55" s="1">
        <v>6.6249575800100005E-2</v>
      </c>
      <c r="D55" s="1">
        <v>6.1849013056499997E-4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9.5945666030799997E-3</v>
      </c>
      <c r="B56" s="1">
        <v>1.0057134185600001</v>
      </c>
      <c r="C56" s="1">
        <v>6.4220614058599995E-2</v>
      </c>
      <c r="D56" s="1">
        <v>6.2067503187099998E-4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9.69051226911E-3</v>
      </c>
      <c r="B57" s="1">
        <v>0.89272390112699995</v>
      </c>
      <c r="C57" s="1">
        <v>5.7955943988899999E-2</v>
      </c>
      <c r="D57" s="1">
        <v>6.2288178218900003E-4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9.7874173918000001E-3</v>
      </c>
      <c r="B58" s="1">
        <v>1.02359637841</v>
      </c>
      <c r="C58" s="1">
        <v>4.4832320864100002E-2</v>
      </c>
      <c r="D58" s="1">
        <v>6.2511060001099999E-4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9.8852915657199995E-3</v>
      </c>
      <c r="B59" s="1">
        <v>0.990645177943</v>
      </c>
      <c r="C59" s="1">
        <v>4.1867781058500003E-2</v>
      </c>
      <c r="D59" s="1">
        <v>6.2736170601099999E-4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9.9841444813699998E-3</v>
      </c>
      <c r="B60" s="1">
        <v>0.92228976033499999</v>
      </c>
      <c r="C60" s="1">
        <v>3.9862399975899999E-2</v>
      </c>
      <c r="D60" s="1">
        <v>6.2963532307199995E-4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1.0083985926200001E-2</v>
      </c>
      <c r="B61" s="1">
        <v>0.86152953688599998</v>
      </c>
      <c r="C61" s="1">
        <v>3.6615589699700003E-2</v>
      </c>
      <c r="D61" s="1">
        <v>6.3193167630200004E-4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1.01848257854E-2</v>
      </c>
      <c r="B62" s="1">
        <v>0.71421265973799997</v>
      </c>
      <c r="C62" s="1">
        <v>3.2445621937500002E-2</v>
      </c>
      <c r="D62" s="1">
        <v>6.3425099306499996E-4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1.02866740433E-2</v>
      </c>
      <c r="B63" s="1">
        <v>0.58274535893900004</v>
      </c>
      <c r="C63" s="1">
        <v>4.0743595325300003E-2</v>
      </c>
      <c r="D63" s="1">
        <v>6.3659350299599996E-4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1.03895407837E-2</v>
      </c>
      <c r="B64" s="1">
        <v>0.47118633662100001</v>
      </c>
      <c r="C64" s="1">
        <v>3.6311223036999997E-2</v>
      </c>
      <c r="D64" s="1">
        <v>6.3895943802600005E-4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1.04934361916E-2</v>
      </c>
      <c r="B65" s="1">
        <v>0.42168187682000002</v>
      </c>
      <c r="C65" s="1">
        <v>3.30562604095E-2</v>
      </c>
      <c r="D65" s="1">
        <v>6.4134903240600002E-4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1.05983705535E-2</v>
      </c>
      <c r="B66" s="1">
        <v>0.38435337913599998</v>
      </c>
      <c r="C66" s="1">
        <v>3.04133968793E-2</v>
      </c>
      <c r="D66" s="1">
        <v>6.4376252273E-4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1.0704354259E-2</v>
      </c>
      <c r="B67" s="1">
        <v>0.33469300380900002</v>
      </c>
      <c r="C67" s="1">
        <v>2.70345473981E-2</v>
      </c>
      <c r="D67" s="1">
        <v>6.46200147958E-4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1.08113978016E-2</v>
      </c>
      <c r="B68" s="1">
        <v>0.37061913853200001</v>
      </c>
      <c r="C68" s="1">
        <v>2.7951526807199999E-2</v>
      </c>
      <c r="D68" s="1">
        <v>6.4866214943700004E-4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1.0919511779600001E-2</v>
      </c>
      <c r="B69" s="1">
        <v>0.37681955861900002</v>
      </c>
      <c r="C69" s="1">
        <v>2.7749752139000002E-2</v>
      </c>
      <c r="D69" s="1">
        <v>6.5114877093200004E-4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1.1028706897400001E-2</v>
      </c>
      <c r="B70" s="1">
        <v>0.29244559044700003</v>
      </c>
      <c r="C70" s="1">
        <v>2.42527965397E-2</v>
      </c>
      <c r="D70" s="1">
        <v>6.5366025864100003E-4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1.11389939664E-2</v>
      </c>
      <c r="B71" s="1">
        <v>0.283539370914</v>
      </c>
      <c r="C71" s="1">
        <v>2.3415961917900002E-2</v>
      </c>
      <c r="D71" s="1">
        <v>6.5619686122700004E-4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1.12503839061E-2</v>
      </c>
      <c r="B72" s="1">
        <v>0.281430438891</v>
      </c>
      <c r="C72" s="1">
        <v>2.2038125464999999E-2</v>
      </c>
      <c r="D72" s="1">
        <v>6.5875882983899999E-4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1.1362887745099999E-2</v>
      </c>
      <c r="B73" s="1">
        <v>0.25041216486000001</v>
      </c>
      <c r="C73" s="1">
        <v>2.03047164921E-2</v>
      </c>
      <c r="D73" s="1">
        <v>6.6134641813799997E-4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1.14765166226E-2</v>
      </c>
      <c r="B74" s="1">
        <v>0.22065108529899999</v>
      </c>
      <c r="C74" s="1">
        <v>1.8586089064699999E-2</v>
      </c>
      <c r="D74" s="1">
        <v>6.6395988231899997E-4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1.1591281788799999E-2</v>
      </c>
      <c r="B75" s="1">
        <v>0.20109782853800001</v>
      </c>
      <c r="C75" s="1">
        <v>1.7156778853200001E-2</v>
      </c>
      <c r="D75" s="1">
        <v>6.6659948114199997E-4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1.17071946067E-2</v>
      </c>
      <c r="B76" s="1">
        <v>0.19214695207400001</v>
      </c>
      <c r="C76" s="1">
        <v>1.6231859714099999E-2</v>
      </c>
      <c r="D76" s="1">
        <v>6.69265475954E-4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1.18242665528E-2</v>
      </c>
      <c r="B77" s="1">
        <v>0.161688002301</v>
      </c>
      <c r="C77" s="1">
        <v>1.48161981656E-2</v>
      </c>
      <c r="D77" s="1">
        <v>6.7195813071299995E-4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1.19425092183E-2</v>
      </c>
      <c r="B78" s="1">
        <v>0.127688419257</v>
      </c>
      <c r="C78" s="1">
        <v>1.2371768880900001E-2</v>
      </c>
      <c r="D78" s="1">
        <v>6.7467771202100004E-4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1.2061934310500001E-2</v>
      </c>
      <c r="B79" s="1">
        <v>0.100376752997</v>
      </c>
      <c r="C79" s="1">
        <v>7.0853570913000001E-3</v>
      </c>
      <c r="D79" s="1">
        <v>6.7742448914099999E-4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1.2182553653599999E-2</v>
      </c>
      <c r="B80" s="1">
        <v>8.1860361531500003E-2</v>
      </c>
      <c r="C80" s="1">
        <v>6.1506392942700001E-3</v>
      </c>
      <c r="D80" s="1">
        <v>6.8019873403200003E-4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1.2304379190100001E-2</v>
      </c>
      <c r="B81" s="1">
        <v>7.9938890080000005E-2</v>
      </c>
      <c r="C81" s="1">
        <v>5.8218442903399999E-3</v>
      </c>
      <c r="D81" s="1">
        <v>6.8300072137200002E-4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1.2427422981999999E-2</v>
      </c>
      <c r="B82" s="1">
        <v>5.7164771391399999E-2</v>
      </c>
      <c r="C82" s="1">
        <v>4.9529025679700004E-3</v>
      </c>
      <c r="D82" s="1">
        <v>6.8583072858600003E-4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1.25516972118E-2</v>
      </c>
      <c r="B83" s="1">
        <v>5.5301175624599998E-2</v>
      </c>
      <c r="C83" s="1">
        <v>5.9732238172300004E-3</v>
      </c>
      <c r="D83" s="1">
        <v>6.8868903587199996E-4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1.26772141839E-2</v>
      </c>
      <c r="B84" s="1">
        <v>4.8372462282399997E-2</v>
      </c>
      <c r="C84" s="1">
        <v>5.2961918248899996E-3</v>
      </c>
      <c r="D84" s="1">
        <v>6.9157592623100004E-4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1.28039863258E-2</v>
      </c>
      <c r="B85" s="1">
        <v>3.5535480524199997E-2</v>
      </c>
      <c r="C85" s="1">
        <v>4.5284093206799996E-3</v>
      </c>
      <c r="D85" s="1">
        <v>6.9449168549300003E-4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1.2932026189000001E-2</v>
      </c>
      <c r="B86" s="1">
        <v>3.2687391634200001E-2</v>
      </c>
      <c r="C86" s="1">
        <v>4.3310809923599999E-3</v>
      </c>
      <c r="D86" s="1">
        <v>6.9743660234799999E-4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1.3061346450899999E-2</v>
      </c>
      <c r="B87" s="1">
        <v>3.11989896593E-2</v>
      </c>
      <c r="C87" s="1">
        <v>4.0328905528900002E-3</v>
      </c>
      <c r="D87" s="1">
        <v>7.0041096837200004E-4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1.31919599154E-2</v>
      </c>
      <c r="B88" s="1">
        <v>3.6801139621300001E-2</v>
      </c>
      <c r="C88" s="1">
        <v>4.1680732027200001E-3</v>
      </c>
      <c r="D88" s="1">
        <v>7.0341507805499995E-4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1.33238795146E-2</v>
      </c>
      <c r="B89" s="1">
        <v>2.75441739952E-2</v>
      </c>
      <c r="C89" s="1">
        <v>3.6706142068100001E-3</v>
      </c>
      <c r="D89" s="1">
        <v>7.0644922883600001E-4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1.3457118309700001E-2</v>
      </c>
      <c r="B90" s="1">
        <v>3.07464682488E-2</v>
      </c>
      <c r="C90" s="1">
        <v>3.80763234995E-3</v>
      </c>
      <c r="D90" s="1">
        <v>7.0951372112399997E-4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1.3591689492799999E-2</v>
      </c>
      <c r="B91" s="1">
        <v>3.50713372454E-2</v>
      </c>
      <c r="C91" s="1">
        <v>3.7211144594600002E-3</v>
      </c>
      <c r="D91" s="1">
        <v>7.1260885833499996E-4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1.37276063878E-2</v>
      </c>
      <c r="B92" s="1">
        <v>3.2628079887799998E-2</v>
      </c>
      <c r="C92" s="1">
        <v>3.5237210306299999E-3</v>
      </c>
      <c r="D92" s="86">
        <v>7.1573494691900001E-4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1.3864882451600001E-2</v>
      </c>
      <c r="B93" s="1">
        <v>3.5754526286600002E-2</v>
      </c>
      <c r="C93" s="1">
        <v>3.6477577852500002E-3</v>
      </c>
      <c r="D93" s="1">
        <v>7.1889229638800003E-4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1.40035312762E-2</v>
      </c>
      <c r="B94" s="1">
        <v>3.6205492929499997E-2</v>
      </c>
      <c r="C94" s="1">
        <v>3.4439022956899998E-3</v>
      </c>
      <c r="D94" s="1">
        <v>7.2208121935199996E-4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1.41435665889E-2</v>
      </c>
      <c r="B95" s="1">
        <v>3.7803372281499999E-2</v>
      </c>
      <c r="C95" s="1">
        <v>3.51501175843E-3</v>
      </c>
      <c r="D95" s="1">
        <v>7.2530203154500005E-4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1.42850022548E-2</v>
      </c>
      <c r="B96" s="1">
        <v>3.6630618553600003E-2</v>
      </c>
      <c r="C96" s="1">
        <v>3.2454689336499998E-3</v>
      </c>
      <c r="D96" s="1">
        <v>7.2855505186099996E-4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1.44278522774E-2</v>
      </c>
      <c r="B97" s="1">
        <v>3.8589254952200003E-2</v>
      </c>
      <c r="C97" s="1">
        <v>3.2914892157800001E-3</v>
      </c>
      <c r="D97" s="1">
        <v>7.3184060237899997E-4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1.4572130800099999E-2</v>
      </c>
      <c r="B98" s="1">
        <v>4.2557080247200001E-2</v>
      </c>
      <c r="C98" s="1">
        <v>3.39576176422E-3</v>
      </c>
      <c r="D98" s="1">
        <v>7.3515900840299996E-4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1.4717852108099999E-2</v>
      </c>
      <c r="B99" s="1">
        <v>3.1534324370399998E-2</v>
      </c>
      <c r="C99" s="1">
        <v>2.79003033136E-3</v>
      </c>
      <c r="D99" s="1">
        <v>7.3851059848700003E-4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1.4865030629200001E-2</v>
      </c>
      <c r="B100" s="1">
        <v>4.02742945625E-2</v>
      </c>
      <c r="C100" s="1">
        <v>3.0327522460600002E-3</v>
      </c>
      <c r="D100" s="1">
        <v>7.4189570447199995E-4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1.50136809355E-2</v>
      </c>
      <c r="B101" s="1">
        <v>3.4945739843300003E-2</v>
      </c>
      <c r="C101" s="1">
        <v>2.8352027331300001E-3</v>
      </c>
      <c r="D101" s="1">
        <v>7.4531466151699999E-4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1.5163817744900001E-2</v>
      </c>
      <c r="B102" s="1">
        <v>3.12597478357E-2</v>
      </c>
      <c r="C102" s="1">
        <v>2.6440905921700001E-3</v>
      </c>
      <c r="D102" s="1">
        <v>7.4876780813200002E-4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1.5315455922300001E-2</v>
      </c>
      <c r="B103" s="1">
        <v>3.1404814852000001E-2</v>
      </c>
      <c r="C103" s="1">
        <v>2.49988012155E-3</v>
      </c>
      <c r="D103" s="1">
        <v>7.5225548621300005E-4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1.54686104815E-2</v>
      </c>
      <c r="B104" s="1">
        <v>2.65471411245E-2</v>
      </c>
      <c r="C104" s="1">
        <v>2.2571839150599998E-3</v>
      </c>
      <c r="D104" s="1">
        <v>7.5577804107499998E-4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1.56232965864E-2</v>
      </c>
      <c r="B105" s="1">
        <v>3.1837006988899998E-2</v>
      </c>
      <c r="C105" s="1">
        <v>2.4030917444100002E-3</v>
      </c>
      <c r="D105" s="1">
        <v>7.5933582148599997E-4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1.5779529552200001E-2</v>
      </c>
      <c r="B106" s="1">
        <v>2.3945078216000001E-2</v>
      </c>
      <c r="C106" s="1">
        <v>1.5660707842E-3</v>
      </c>
      <c r="D106" s="1">
        <v>7.6292917970100004E-4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1.59373248477E-2</v>
      </c>
      <c r="B107" s="1">
        <v>2.2609868783399999E-2</v>
      </c>
      <c r="C107" s="1">
        <v>1.48107032059E-3</v>
      </c>
      <c r="D107" s="1">
        <v>7.6655847149800001E-4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1.6096698096199999E-2</v>
      </c>
      <c r="B108" s="1">
        <v>1.8116096172099999E-2</v>
      </c>
      <c r="C108" s="1">
        <v>1.3096764320700001E-3</v>
      </c>
      <c r="D108" s="1">
        <v>7.7022405621299998E-4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1.6257665077200001E-2</v>
      </c>
      <c r="B109" s="1">
        <v>1.6314491277799999E-2</v>
      </c>
      <c r="C109" s="1">
        <v>1.1954963888600001E-3</v>
      </c>
      <c r="D109" s="1">
        <v>7.7392629677499995E-4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1.6420241727999999E-2</v>
      </c>
      <c r="B110" s="1">
        <v>1.2715903741E-2</v>
      </c>
      <c r="C110" s="1">
        <v>1.0422979349100001E-3</v>
      </c>
      <c r="D110" s="1">
        <v>7.7766555974299997E-4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1.6584444145200002E-2</v>
      </c>
      <c r="B111" s="1">
        <v>1.27716527493E-2</v>
      </c>
      <c r="C111" s="1">
        <v>1.0445709000400001E-3</v>
      </c>
      <c r="D111" s="1">
        <v>7.8144221533999999E-4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1.67502885867E-2</v>
      </c>
      <c r="B112" s="1">
        <v>8.79764210447E-3</v>
      </c>
      <c r="C112" s="1">
        <v>1.3366987594499999E-3</v>
      </c>
      <c r="D112" s="1">
        <v>7.8525663749399999E-4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1.6917791472599999E-2</v>
      </c>
      <c r="B113" s="1">
        <v>9.1600636385599996E-3</v>
      </c>
      <c r="C113" s="1">
        <v>1.24866825266E-3</v>
      </c>
      <c r="D113" s="1">
        <v>7.8910920386899999E-4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1.7086969387300002E-2</v>
      </c>
      <c r="B114" s="1">
        <v>8.9342279188700004E-3</v>
      </c>
      <c r="C114" s="1">
        <v>1.3340414697100001E-3</v>
      </c>
      <c r="D114" s="1">
        <v>7.9300029590700005E-4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1.7257839081199999E-2</v>
      </c>
      <c r="B115" s="1">
        <v>8.8425943152500002E-3</v>
      </c>
      <c r="C115" s="1">
        <v>1.2117902918899999E-3</v>
      </c>
      <c r="D115" s="1">
        <v>7.9693029886600004E-4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1.7430417472000002E-2</v>
      </c>
      <c r="B116" s="1">
        <v>8.1419177733599996E-3</v>
      </c>
      <c r="C116" s="1">
        <v>1.14185216204E-3</v>
      </c>
      <c r="D116" s="1">
        <v>8.0089960185499996E-4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1.7604721646699999E-2</v>
      </c>
      <c r="B117" s="1">
        <v>7.8324806506899994E-3</v>
      </c>
      <c r="C117" s="1">
        <v>1.0886844937199999E-3</v>
      </c>
      <c r="D117" s="1">
        <v>8.0490859787399999E-4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1.77807688631E-2</v>
      </c>
      <c r="B118" s="1">
        <v>7.6741188341999996E-3</v>
      </c>
      <c r="C118" s="1">
        <v>1.0173787666100001E-3</v>
      </c>
      <c r="D118" s="1">
        <v>8.08957683852E-4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1.7958576551799998E-2</v>
      </c>
      <c r="B119" s="1">
        <v>6.2330941753099998E-3</v>
      </c>
      <c r="C119" s="1">
        <v>9.0409301889999997E-4</v>
      </c>
      <c r="D119" s="1">
        <v>8.1304726069100005E-4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1.8138162317300002E-2</v>
      </c>
      <c r="B120" s="1">
        <v>9.3379941476500004E-3</v>
      </c>
      <c r="C120" s="1">
        <v>1.04960976303E-3</v>
      </c>
      <c r="D120" s="1">
        <v>8.17177733298E-4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1.8319543940500001E-2</v>
      </c>
      <c r="B121" s="1">
        <v>9.6472059478000007E-3</v>
      </c>
      <c r="C121" s="1">
        <v>1.05794480816E-3</v>
      </c>
      <c r="D121" s="1">
        <v>8.2134951063100002E-4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1.8502739379900001E-2</v>
      </c>
      <c r="B122" s="1">
        <v>9.8459287197799998E-3</v>
      </c>
      <c r="C122" s="1">
        <v>1.0324550669099999E-3</v>
      </c>
      <c r="D122" s="1">
        <v>8.2556300573700004E-4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1.8687766773700001E-2</v>
      </c>
      <c r="B123" s="1">
        <v>8.4938311701000004E-3</v>
      </c>
      <c r="C123" s="1">
        <v>9.3754112747700005E-4</v>
      </c>
      <c r="D123" s="1">
        <v>8.2981863579399998E-4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1.8874644441399999E-2</v>
      </c>
      <c r="B124" s="1">
        <v>1.0103458577000001E-2</v>
      </c>
      <c r="C124" s="1">
        <v>9.8700677614000005E-4</v>
      </c>
      <c r="D124" s="1">
        <v>8.34116822152E-4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1.9063390885799999E-2</v>
      </c>
      <c r="B125" s="1">
        <v>9.6165372377300003E-3</v>
      </c>
      <c r="C125" s="1">
        <v>9.4372135962500004E-4</v>
      </c>
      <c r="D125" s="1">
        <v>8.3845799037399996E-4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1.9254024794699998E-2</v>
      </c>
      <c r="B126" s="1">
        <v>1.0120523875899999E-2</v>
      </c>
      <c r="C126" s="1">
        <v>9.76857545143E-4</v>
      </c>
      <c r="D126" s="1">
        <v>8.4284257027799996E-4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1.9446565042599999E-2</v>
      </c>
      <c r="B127" s="1">
        <v>9.1178039784000006E-3</v>
      </c>
      <c r="C127" s="1">
        <v>9.0177179063499996E-4</v>
      </c>
      <c r="D127" s="1">
        <v>8.4727099597999998E-4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1.9641030693100001E-2</v>
      </c>
      <c r="B128" s="1">
        <v>1.22226097131E-2</v>
      </c>
      <c r="C128" s="1">
        <v>1.0202807002500001E-3</v>
      </c>
      <c r="D128" s="1">
        <v>8.5174370594E-4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1.9837441000000001E-2</v>
      </c>
      <c r="B129" s="1">
        <v>1.00381041626E-2</v>
      </c>
      <c r="C129" s="1">
        <v>9.1147694323599998E-4</v>
      </c>
      <c r="D129" s="1">
        <v>8.5626114299999995E-4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2.0035815410000001E-2</v>
      </c>
      <c r="B130" s="1">
        <v>9.3552263188400007E-3</v>
      </c>
      <c r="C130" s="1">
        <v>8.37977656294E-4</v>
      </c>
      <c r="D130" s="1">
        <v>8.6082375442999995E-4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2.0236173564099999E-2</v>
      </c>
      <c r="B131" s="1">
        <v>1.0354501974200001E-2</v>
      </c>
      <c r="C131" s="1">
        <v>8.7129789469599995E-4</v>
      </c>
      <c r="D131" s="1">
        <v>8.6543199197399996E-4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2.0438535299700002E-2</v>
      </c>
      <c r="B132" s="1">
        <v>7.8970805112699993E-3</v>
      </c>
      <c r="C132" s="1">
        <v>7.3256483579800004E-4</v>
      </c>
      <c r="D132" s="1">
        <v>8.7008631189400005E-4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2.06429206527E-2</v>
      </c>
      <c r="B133" s="1">
        <v>6.3939524282699998E-3</v>
      </c>
      <c r="C133" s="1">
        <v>6.9327862906800003E-4</v>
      </c>
      <c r="D133" s="1">
        <v>8.7478717501299999E-4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2.0849349859299999E-2</v>
      </c>
      <c r="B134" s="1">
        <v>5.6647153762800001E-3</v>
      </c>
      <c r="C134" s="1">
        <v>6.1457658471799996E-4</v>
      </c>
      <c r="D134" s="1">
        <v>8.7953504676300002E-4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2.1057843357800001E-2</v>
      </c>
      <c r="B135" s="1">
        <v>5.6526291823800002E-3</v>
      </c>
      <c r="C135" s="1">
        <v>5.9627674121199995E-4</v>
      </c>
      <c r="D135" s="1">
        <v>8.8433039722999999E-4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2.12684217914E-2</v>
      </c>
      <c r="B136" s="1">
        <v>4.8672007255099996E-3</v>
      </c>
      <c r="C136" s="1">
        <v>5.4710178900999995E-4</v>
      </c>
      <c r="D136" s="1">
        <v>8.8917370120300001E-4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2.1481106009300002E-2</v>
      </c>
      <c r="B137" s="1">
        <v>4.0498153354699999E-3</v>
      </c>
      <c r="C137" s="1">
        <v>5.0288262491700005E-4</v>
      </c>
      <c r="D137" s="1">
        <v>8.9406543821499997E-4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2.1695917069400002E-2</v>
      </c>
      <c r="B138" s="1">
        <v>3.0325269806899999E-3</v>
      </c>
      <c r="C138" s="1">
        <v>4.4225620338900001E-4</v>
      </c>
      <c r="D138" s="1">
        <v>8.9900609259699999E-4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2.19128762401E-2</v>
      </c>
      <c r="B139" s="1">
        <v>3.0761414391400001E-3</v>
      </c>
      <c r="C139" s="1">
        <v>4.3245241926200001E-4</v>
      </c>
      <c r="D139" s="1">
        <v>9.0399615352299999E-4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2.21320050025E-2</v>
      </c>
      <c r="B140" s="1">
        <v>2.4271716703999999E-3</v>
      </c>
      <c r="C140" s="1">
        <v>3.7745223275500002E-4</v>
      </c>
      <c r="D140" s="1">
        <v>9.0903611505800002E-4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2.2353325052600001E-2</v>
      </c>
      <c r="B141" s="1">
        <v>1.55022368543E-3</v>
      </c>
      <c r="C141" s="1">
        <v>3.19380169102E-4</v>
      </c>
      <c r="D141" s="1">
        <v>9.1412647620899999E-4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2.2576858303100002E-2</v>
      </c>
      <c r="B142" s="1">
        <v>1.5144537934299999E-3</v>
      </c>
      <c r="C142" s="1">
        <v>2.9504619555E-4</v>
      </c>
      <c r="D142" s="1">
        <v>9.1926774097100003E-4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2.2802626886099998E-2</v>
      </c>
      <c r="B143" s="1">
        <v>1.7522292592600001E-3</v>
      </c>
      <c r="C143" s="1">
        <v>3.1155962658199998E-4</v>
      </c>
      <c r="D143" s="1">
        <v>9.2446041838000002E-4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2.3030653155000001E-2</v>
      </c>
      <c r="B144" s="1">
        <v>1.8050719921099999E-3</v>
      </c>
      <c r="C144" s="1">
        <v>3.14171174904E-4</v>
      </c>
      <c r="D144" s="1">
        <v>9.29705022564E-4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2.32609596865E-2</v>
      </c>
      <c r="B145" s="1">
        <v>2.2318759004200002E-3</v>
      </c>
      <c r="C145" s="1">
        <v>1.4860156874700001E-4</v>
      </c>
      <c r="D145" s="1">
        <v>9.3500207279000004E-4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2.34935692834E-2</v>
      </c>
      <c r="B146" s="1">
        <v>2.7207248041600002E-3</v>
      </c>
      <c r="C146" s="1">
        <v>1.5699699335099999E-4</v>
      </c>
      <c r="D146" s="1">
        <v>9.4035209351799997E-4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2.37285049762E-2</v>
      </c>
      <c r="B147" s="1">
        <v>2.9653496072899999E-3</v>
      </c>
      <c r="C147" s="1">
        <v>1.6212951805799999E-4</v>
      </c>
      <c r="D147" s="1">
        <v>9.4575561445300004E-4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2.3965790026000001E-2</v>
      </c>
      <c r="B148" s="1">
        <v>3.38898794938E-3</v>
      </c>
      <c r="C148" s="1">
        <v>1.7362686606300001E-4</v>
      </c>
      <c r="D148" s="1">
        <v>9.5121317059800004E-4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2.42054479262E-2</v>
      </c>
      <c r="B149" s="1">
        <v>3.9907750736500004E-3</v>
      </c>
      <c r="C149" s="1">
        <v>1.84337098695E-4</v>
      </c>
      <c r="D149" s="1">
        <v>9.5672530230299997E-4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2.4447502405500001E-2</v>
      </c>
      <c r="B150" s="1">
        <v>3.6280884734400001E-3</v>
      </c>
      <c r="C150" s="1">
        <v>1.7006644570000001E-4</v>
      </c>
      <c r="D150" s="1">
        <v>9.62292555327E-4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2.4691977429599998E-2</v>
      </c>
      <c r="B151" s="1">
        <v>3.4946123754499999E-3</v>
      </c>
      <c r="C151" s="1">
        <v>1.5948579181000001E-4</v>
      </c>
      <c r="D151" s="1">
        <v>9.6791548087999996E-4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2.4938897203899999E-2</v>
      </c>
      <c r="B152" s="1">
        <v>3.8862346232999999E-3</v>
      </c>
      <c r="C152" s="1">
        <v>1.70336521237E-4</v>
      </c>
      <c r="D152" s="1">
        <v>9.7359463568899996E-4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2.51882861759E-2</v>
      </c>
      <c r="B153" s="1">
        <v>3.6319630876299998E-3</v>
      </c>
      <c r="C153" s="1">
        <v>1.81188062935E-4</v>
      </c>
      <c r="D153" s="86">
        <v>9.7933058204499992E-4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2.5440169037600002E-2</v>
      </c>
      <c r="B154" s="1">
        <v>3.3684326575299998E-3</v>
      </c>
      <c r="C154" s="1">
        <v>1.66235211025E-4</v>
      </c>
      <c r="D154" s="1">
        <v>9.8512388786599998E-4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2.5694570728E-2</v>
      </c>
      <c r="B155" s="1">
        <v>3.0173189550699998E-3</v>
      </c>
      <c r="C155" s="1">
        <v>1.57519931586E-4</v>
      </c>
      <c r="D155" s="1">
        <v>9.9097512674499997E-4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2.5951516435299998E-2</v>
      </c>
      <c r="B156" s="1">
        <v>2.4435322657300001E-3</v>
      </c>
      <c r="C156" s="1">
        <v>1.3674377845299999E-4</v>
      </c>
      <c r="D156" s="1">
        <v>9.9688487801200009E-4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2.6211031599700001E-2</v>
      </c>
      <c r="B157" s="1">
        <v>1.9408879583300001E-3</v>
      </c>
      <c r="C157" s="1">
        <v>1.18028911425E-4</v>
      </c>
      <c r="D157" s="1">
        <v>1.0028537267900001E-3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2.6473141915700001E-2</v>
      </c>
      <c r="B158" s="1">
        <v>1.8224421321999999E-3</v>
      </c>
      <c r="C158" s="1">
        <v>1.1158010405200001E-4</v>
      </c>
      <c r="D158" s="1">
        <v>1.00888226406E-3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2.6737873334799999E-2</v>
      </c>
      <c r="B159" s="1">
        <v>1.2816025497000001E-3</v>
      </c>
      <c r="C159" s="1">
        <v>9.5369887138800003E-5</v>
      </c>
      <c r="D159" s="1">
        <v>1.0149710867E-3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2.7005252068200002E-2</v>
      </c>
      <c r="B160" s="1">
        <v>1.1481758222600001E-3</v>
      </c>
      <c r="C160" s="1">
        <v>8.6069500315399995E-5</v>
      </c>
      <c r="D160" s="1">
        <v>1.02112079757E-3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2.7275304588799999E-2</v>
      </c>
      <c r="B161" s="1">
        <v>9.6528678215899999E-4</v>
      </c>
      <c r="C161" s="1">
        <v>8.2849041691200004E-5</v>
      </c>
      <c r="D161" s="1">
        <v>1.02733200554E-3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2.7548057634700002E-2</v>
      </c>
      <c r="B162" s="1">
        <v>8.0379705848299999E-4</v>
      </c>
      <c r="C162" s="1">
        <v>7.4060382923699997E-5</v>
      </c>
      <c r="D162" s="1">
        <v>1.0336053256E-3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2.78235382111E-2</v>
      </c>
      <c r="B163" s="1">
        <v>9.1814312680000003E-4</v>
      </c>
      <c r="C163" s="1">
        <v>7.4673705483199997E-5</v>
      </c>
      <c r="D163" s="1">
        <v>1.0399413788499999E-3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2.81017735932E-2</v>
      </c>
      <c r="B164" s="1">
        <v>8.6634913158300001E-4</v>
      </c>
      <c r="C164" s="1">
        <v>7.5568568269499998E-5</v>
      </c>
      <c r="D164" s="1">
        <v>1.0463407926400001E-3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2.8382791329100002E-2</v>
      </c>
      <c r="B165" s="1">
        <v>1.0694548704E-3</v>
      </c>
      <c r="C165" s="1">
        <v>8.4594088081299995E-5</v>
      </c>
      <c r="D165" s="1">
        <v>1.0528042005699999E-3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2.86666192424E-2</v>
      </c>
      <c r="B166" s="1">
        <v>1.02564443027E-3</v>
      </c>
      <c r="C166" s="1">
        <v>7.6543657359500006E-5</v>
      </c>
      <c r="D166" s="1">
        <v>1.05933224258E-3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2.89532854348E-2</v>
      </c>
      <c r="B167" s="1">
        <v>1.1622169625100001E-3</v>
      </c>
      <c r="C167" s="1">
        <v>8.8651917727899997E-5</v>
      </c>
      <c r="D167" s="1">
        <v>1.065925565E-3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2.9242818289200001E-2</v>
      </c>
      <c r="B168" s="1">
        <v>1.3498504977499999E-3</v>
      </c>
      <c r="C168" s="1">
        <v>9.31961498643E-5</v>
      </c>
      <c r="D168" s="1">
        <v>1.0725848206499999E-3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2.9535246472099999E-2</v>
      </c>
      <c r="B169" s="1">
        <v>1.5173826873499999E-3</v>
      </c>
      <c r="C169" s="1">
        <v>1.00453417086E-4</v>
      </c>
      <c r="D169" s="1">
        <v>1.0793106688599999E-3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2.9830598936799999E-2</v>
      </c>
      <c r="B170" s="1">
        <v>1.49005725249E-3</v>
      </c>
      <c r="C170" s="1">
        <v>9.16526753166E-5</v>
      </c>
      <c r="D170" s="1">
        <v>1.08610377555E-3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3.01289049262E-2</v>
      </c>
      <c r="B171" s="1">
        <v>1.4792085407199999E-3</v>
      </c>
      <c r="C171" s="1">
        <v>9.1844627393099994E-5</v>
      </c>
      <c r="D171" s="1">
        <v>1.0929648132999999E-3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3.0430193975400002E-2</v>
      </c>
      <c r="B172" s="1">
        <v>1.4459495534100001E-3</v>
      </c>
      <c r="C172" s="1">
        <v>9.2013153863399995E-5</v>
      </c>
      <c r="D172" s="1">
        <v>1.09989446143E-3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3.07344959152E-2</v>
      </c>
      <c r="B173" s="1">
        <v>1.3838535669299999E-3</v>
      </c>
      <c r="C173" s="1">
        <v>8.8723143918099996E-5</v>
      </c>
      <c r="D173" s="1">
        <v>1.1068934060499999E-3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3.1041840874300002E-2</v>
      </c>
      <c r="B174" s="1">
        <v>1.12188576457E-3</v>
      </c>
      <c r="C174" s="1">
        <v>8.1667559823999999E-5</v>
      </c>
      <c r="D174" s="1">
        <v>1.1139623401100001E-3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3.1352259283100002E-2</v>
      </c>
      <c r="B175" s="1">
        <v>1.0842592278400001E-3</v>
      </c>
      <c r="C175" s="1">
        <v>7.76855140809E-5</v>
      </c>
      <c r="D175" s="1">
        <v>1.1211019635100001E-3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3.1665781875900002E-2</v>
      </c>
      <c r="B176" s="1">
        <v>7.5358844314200001E-4</v>
      </c>
      <c r="C176" s="1">
        <v>6.4122781971799996E-5</v>
      </c>
      <c r="D176" s="1">
        <v>1.12831298315E-3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3.19824396947E-2</v>
      </c>
      <c r="B177" s="1">
        <v>6.2320207440000005E-4</v>
      </c>
      <c r="C177" s="1">
        <v>5.9894168151299999E-5</v>
      </c>
      <c r="D177" s="1">
        <v>1.1355961129799999E-3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3.2302264091600003E-2</v>
      </c>
      <c r="B178" s="1">
        <v>5.1080933674699995E-4</v>
      </c>
      <c r="C178" s="1">
        <v>5.4122964618099998E-5</v>
      </c>
      <c r="D178" s="1">
        <v>1.1429520741100001E-3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3.2625286732500001E-2</v>
      </c>
      <c r="B179" s="1">
        <v>4.7312581067100002E-4</v>
      </c>
      <c r="C179" s="1">
        <v>5.1161023371899997E-5</v>
      </c>
      <c r="D179" s="1">
        <v>1.15038159485E-3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3.29515395999E-2</v>
      </c>
      <c r="B180" s="1">
        <v>4.20153061034E-4</v>
      </c>
      <c r="C180" s="1">
        <v>4.9251974457699997E-5</v>
      </c>
      <c r="D180" s="1">
        <v>1.1578854107999999E-3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3.3281054995899999E-2</v>
      </c>
      <c r="B181" s="1">
        <v>3.4603978971299999E-4</v>
      </c>
      <c r="C181" s="1">
        <v>4.6864000443100001E-5</v>
      </c>
      <c r="D181" s="1">
        <v>1.1654642648999999E-3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3.3613865545800002E-2</v>
      </c>
      <c r="B182" s="1">
        <v>4.07381716311E-4</v>
      </c>
      <c r="C182" s="1">
        <v>5.2576234358700001E-5</v>
      </c>
      <c r="D182" s="1">
        <v>1.1731189075499999E-3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3.3950004201300003E-2</v>
      </c>
      <c r="B183" s="1">
        <v>5.78420743143E-4</v>
      </c>
      <c r="C183" s="1">
        <v>5.9508396300400001E-5</v>
      </c>
      <c r="D183" s="1">
        <v>1.18085009663E-3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3.4289504243299997E-2</v>
      </c>
      <c r="B184" s="1">
        <v>5.6359029221599998E-4</v>
      </c>
      <c r="C184" s="1">
        <v>5.63841149538E-5</v>
      </c>
      <c r="D184" s="1">
        <v>1.1886585976000001E-3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3.46323992857E-2</v>
      </c>
      <c r="B185" s="1">
        <v>6.2280171425100001E-4</v>
      </c>
      <c r="C185" s="1">
        <v>6.04651685451E-5</v>
      </c>
      <c r="D185" s="1">
        <v>1.1965451835699999E-3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3.49787232786E-2</v>
      </c>
      <c r="B186" s="1">
        <v>6.4287442275300002E-4</v>
      </c>
      <c r="C186" s="1">
        <v>5.9099466738299998E-5</v>
      </c>
      <c r="D186" s="1">
        <v>1.20451063541E-3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3.5328510511399999E-2</v>
      </c>
      <c r="B187" s="1">
        <v>6.9483172585500005E-4</v>
      </c>
      <c r="C187" s="1">
        <v>6.5114335538400003E-5</v>
      </c>
      <c r="D187" s="1">
        <v>1.2125557417599999E-3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3.5681795616499999E-2</v>
      </c>
      <c r="B188" s="1">
        <v>6.3033413439700001E-4</v>
      </c>
      <c r="C188" s="1">
        <v>5.9844299976900001E-5</v>
      </c>
      <c r="D188" s="1">
        <v>1.2206812991799999E-3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3.6038613572599999E-2</v>
      </c>
      <c r="B189" s="1">
        <v>7.2280706856099998E-4</v>
      </c>
      <c r="C189" s="1">
        <v>6.3435489314999995E-5</v>
      </c>
      <c r="D189" s="1">
        <v>1.2288881121700001E-3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3.63989997084E-2</v>
      </c>
      <c r="B190" s="1">
        <v>5.0110391445699995E-4</v>
      </c>
      <c r="C190" s="1">
        <v>4.9842481446999999E-5</v>
      </c>
      <c r="D190" s="1">
        <v>1.2371769932899999E-3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3.6762989705399998E-2</v>
      </c>
      <c r="B191" s="1">
        <v>4.5946898950799999E-4</v>
      </c>
      <c r="C191" s="1">
        <v>4.7771954870900001E-5</v>
      </c>
      <c r="D191" s="1">
        <v>1.24554876323E-3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3.7130619602499998E-2</v>
      </c>
      <c r="B192" s="1">
        <v>4.0998824697499999E-4</v>
      </c>
      <c r="C192" s="1">
        <v>4.52177424691E-5</v>
      </c>
      <c r="D192" s="1">
        <v>1.2540042508600001E-3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3.7501925798500001E-2</v>
      </c>
      <c r="B193" s="1">
        <v>3.4882098056099998E-4</v>
      </c>
      <c r="C193" s="1">
        <v>4.22598817949E-5</v>
      </c>
      <c r="D193" s="1">
        <v>1.2625442933699999E-3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3.7876945056500001E-2</v>
      </c>
      <c r="B194" s="1">
        <v>2.8330526197000003E-4</v>
      </c>
      <c r="C194" s="1">
        <v>3.7786529360500001E-5</v>
      </c>
      <c r="D194" s="1">
        <v>1.2711697363000001E-3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3.8255714507099997E-2</v>
      </c>
      <c r="B195" s="1">
        <v>2.7867287229200002E-4</v>
      </c>
      <c r="C195" s="1">
        <v>3.7142269339899997E-5</v>
      </c>
      <c r="D195" s="1">
        <v>1.2798814336599999E-3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3.8638271652100001E-2</v>
      </c>
      <c r="B196" s="1">
        <v>2.2707949111800001E-4</v>
      </c>
      <c r="C196" s="1">
        <v>3.4095700133899998E-5</v>
      </c>
      <c r="D196" s="1">
        <v>1.288680248E-3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3.90246543687E-2</v>
      </c>
      <c r="B197" s="1">
        <v>3.0525970012400001E-4</v>
      </c>
      <c r="C197" s="1">
        <v>3.7710915328800002E-5</v>
      </c>
      <c r="D197" s="1">
        <v>1.2975670504800001E-3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3.9414900912399999E-2</v>
      </c>
      <c r="B198" s="1">
        <v>3.5178098843800001E-4</v>
      </c>
      <c r="C198" s="1">
        <v>3.9339716638499998E-5</v>
      </c>
      <c r="D198" s="1">
        <v>1.30654272098E-3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3.98090499215E-2</v>
      </c>
      <c r="B199" s="1">
        <v>3.5463095667600001E-4</v>
      </c>
      <c r="C199" s="1">
        <v>4.1138638104000003E-5</v>
      </c>
      <c r="D199" s="1">
        <v>1.31560814819E-3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4.0207140420699998E-2</v>
      </c>
      <c r="B200" s="1">
        <v>3.6936193682599998E-4</v>
      </c>
      <c r="C200" s="1">
        <v>4.2583414699899998E-5</v>
      </c>
      <c r="D200" s="1">
        <v>1.32476422968E-3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4.0609211824900002E-2</v>
      </c>
      <c r="B201" s="1">
        <v>3.7825235603400001E-4</v>
      </c>
      <c r="C201" s="1">
        <v>4.1912590909000002E-5</v>
      </c>
      <c r="D201" s="1">
        <v>1.3340118719700001E-3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4.1015303943099997E-2</v>
      </c>
      <c r="B202" s="1">
        <v>3.9494374271700002E-4</v>
      </c>
      <c r="C202" s="1">
        <v>4.1805151537400003E-5</v>
      </c>
      <c r="D202" s="1">
        <v>1.3433519906900001E-3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4.1425456982600001E-2</v>
      </c>
      <c r="B203" s="1">
        <v>3.1714490380000001E-4</v>
      </c>
      <c r="C203" s="1">
        <v>3.8141032913500003E-5</v>
      </c>
      <c r="D203" s="1">
        <v>1.3527855106E-3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4.1839711552400002E-2</v>
      </c>
      <c r="B204" s="1">
        <v>2.7365563226399998E-4</v>
      </c>
      <c r="C204" s="1">
        <v>3.5717576717700001E-5</v>
      </c>
      <c r="D204" s="1">
        <v>1.36231336571E-3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4.2258108667900002E-2</v>
      </c>
      <c r="B205" s="1">
        <v>3.0818550033099998E-4</v>
      </c>
      <c r="C205" s="1">
        <v>3.7243147362799998E-5</v>
      </c>
      <c r="D205" s="1">
        <v>1.37193649936E-3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4.2680689754600001E-2</v>
      </c>
      <c r="B206" s="1">
        <v>2.4697194618600001E-4</v>
      </c>
      <c r="C206" s="1">
        <v>3.3804870141899998E-5</v>
      </c>
      <c r="D206" s="1">
        <v>1.3816558643600001E-3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4.3107496652199997E-2</v>
      </c>
      <c r="B207" s="1">
        <v>2.3126432468100001E-4</v>
      </c>
      <c r="C207" s="1">
        <v>3.2592365101900002E-5</v>
      </c>
      <c r="D207" s="1">
        <v>1.391472423E-3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4.3538571618699999E-2</v>
      </c>
      <c r="B208" s="1">
        <v>1.39393731269E-4</v>
      </c>
      <c r="C208" s="1">
        <v>2.5202001876399999E-5</v>
      </c>
      <c r="D208" s="1">
        <v>1.4013871472299999E-3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4.3973957334899998E-2</v>
      </c>
      <c r="B209" s="1">
        <v>1.8036892241800001E-4</v>
      </c>
      <c r="C209" s="1">
        <v>2.9126801599999999E-5</v>
      </c>
      <c r="D209" s="1">
        <v>1.4114010186999999E-3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4.4413696908199997E-2</v>
      </c>
      <c r="B210" s="1">
        <v>1.18335979576E-4</v>
      </c>
      <c r="C210" s="1">
        <v>2.5636822695099999E-5</v>
      </c>
      <c r="D210" s="1">
        <v>1.4215150288899999E-3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4.4857833877300003E-2</v>
      </c>
      <c r="B211" s="1">
        <v>2.0364853541399999E-4</v>
      </c>
      <c r="C211" s="1">
        <v>1.3766175818999999E-5</v>
      </c>
      <c r="D211" s="1">
        <v>1.43173017918E-3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4.5306412216100003E-2</v>
      </c>
      <c r="B212" s="1">
        <v>2.1385553283699999E-4</v>
      </c>
      <c r="C212" s="1">
        <v>1.33705541993E-5</v>
      </c>
      <c r="D212" s="1">
        <v>1.4420474809700001E-3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4.5759476338200003E-2</v>
      </c>
      <c r="B213" s="1">
        <v>2.3341016564000001E-4</v>
      </c>
      <c r="C213" s="1">
        <v>1.4014911401299999E-5</v>
      </c>
      <c r="D213" s="1">
        <v>1.4524679557800001E-3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4.6217071101599998E-2</v>
      </c>
      <c r="B214" s="1">
        <v>2.2738180538399999E-4</v>
      </c>
      <c r="C214" s="1">
        <v>1.35024958075E-5</v>
      </c>
      <c r="D214" s="1">
        <v>1.46299263534E-3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4.6679241812599997E-2</v>
      </c>
      <c r="B215" s="1">
        <v>2.3190527294700001E-4</v>
      </c>
      <c r="C215" s="1">
        <v>1.35906436692E-5</v>
      </c>
      <c r="D215" s="1">
        <v>1.47362256169E-3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4.71460342308E-2</v>
      </c>
      <c r="B216" s="1">
        <v>1.95061088914E-4</v>
      </c>
      <c r="C216" s="1">
        <v>1.20324568743E-5</v>
      </c>
      <c r="D216" s="1">
        <v>1.48435878731E-3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4.7617494573100001E-2</v>
      </c>
      <c r="B217" s="1">
        <v>1.38049035621E-4</v>
      </c>
      <c r="C217" s="1">
        <v>9.6589507772000004E-6</v>
      </c>
      <c r="D217" s="1">
        <v>1.4952023751800001E-3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4.8093669518800002E-2</v>
      </c>
      <c r="B218" s="1">
        <v>1.26840438742E-4</v>
      </c>
      <c r="C218" s="1">
        <v>9.31119113386E-6</v>
      </c>
      <c r="D218" s="1">
        <v>1.5061543989299999E-3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4.8574606213999998E-2</v>
      </c>
      <c r="B219" s="1">
        <v>1.19384348816E-4</v>
      </c>
      <c r="C219" s="1">
        <v>9.0310631264899993E-6</v>
      </c>
      <c r="D219" s="1">
        <v>1.51721594292E-3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4.9060352276099999E-2</v>
      </c>
      <c r="B220" s="1">
        <v>1.3138037573399999E-4</v>
      </c>
      <c r="C220" s="1">
        <v>9.0787153331999993E-6</v>
      </c>
      <c r="D220" s="1">
        <v>1.5283881023500001E-3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4.9550955798900002E-2</v>
      </c>
      <c r="B221" s="1">
        <v>1.26741667996E-4</v>
      </c>
      <c r="C221" s="1">
        <v>8.92682135997E-6</v>
      </c>
      <c r="D221" s="1">
        <v>1.5396719833700001E-3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5.0046465356900001E-2</v>
      </c>
      <c r="B222" s="1">
        <v>1.2899207158999999E-4</v>
      </c>
      <c r="C222" s="1">
        <v>9.39817477098E-6</v>
      </c>
      <c r="D222" s="1">
        <v>1.5510687032100001E-3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5.0546930010399997E-2</v>
      </c>
      <c r="B223" s="1">
        <v>1.3589345094900001E-4</v>
      </c>
      <c r="C223" s="1">
        <v>9.1357682799500005E-6</v>
      </c>
      <c r="D223" s="1">
        <v>1.56257939024E-3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5.1052399310499999E-2</v>
      </c>
      <c r="B224" s="1">
        <v>1.2754475737300001E-4</v>
      </c>
      <c r="C224" s="1">
        <v>8.5757494917899996E-6</v>
      </c>
      <c r="D224" s="1">
        <v>1.5742051841400001E-3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5.1562923303600003E-2</v>
      </c>
      <c r="B225" s="1">
        <v>1.3778108255699999E-4</v>
      </c>
      <c r="C225" s="1">
        <v>9.0506614809199994E-6</v>
      </c>
      <c r="D225" s="1">
        <v>1.58594723598E-3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5.2078552536699997E-2</v>
      </c>
      <c r="B226" s="1">
        <v>1.48602922599E-4</v>
      </c>
      <c r="C226" s="1">
        <v>9.0894155814699994E-6</v>
      </c>
      <c r="D226" s="1">
        <v>1.5978067083399999E-3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5.2599338062100001E-2</v>
      </c>
      <c r="B227" s="1">
        <v>1.2311857894100001E-4</v>
      </c>
      <c r="C227" s="1">
        <v>8.5397095623600003E-6</v>
      </c>
      <c r="D227" s="1">
        <v>1.6097847754299999E-3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5.31253314427E-2</v>
      </c>
      <c r="B228" s="1">
        <v>1.22905981296E-4</v>
      </c>
      <c r="C228" s="1">
        <v>8.9082200161299995E-6</v>
      </c>
      <c r="D228" s="1">
        <v>1.6218826231800001E-3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5.3656584757100001E-2</v>
      </c>
      <c r="B229" s="1">
        <v>8.9462783136999997E-5</v>
      </c>
      <c r="C229" s="1">
        <v>7.4850554970099996E-6</v>
      </c>
      <c r="D229" s="1">
        <v>1.6341014494100001E-3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5.4193150604700001E-2</v>
      </c>
      <c r="B230" s="1">
        <v>1.01680667264E-4</v>
      </c>
      <c r="C230" s="1">
        <v>7.7637244865399996E-6</v>
      </c>
      <c r="D230" s="1">
        <v>1.64644246391E-3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5.4735082110700002E-2</v>
      </c>
      <c r="B231" s="1">
        <v>1.03642758293E-4</v>
      </c>
      <c r="C231" s="1">
        <v>8.1220337256600002E-6</v>
      </c>
      <c r="D231" s="1">
        <v>1.65890688855E-3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5.5282432931799998E-2</v>
      </c>
      <c r="B232" s="1">
        <v>9.3261151053200005E-5</v>
      </c>
      <c r="C232" s="1">
        <v>7.2546965745E-6</v>
      </c>
      <c r="D232" s="1">
        <v>1.6714959574299999E-3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5.5835257261100002E-2</v>
      </c>
      <c r="B233" s="1">
        <v>9.4536071534000001E-5</v>
      </c>
      <c r="C233" s="1">
        <v>7.4214991278199998E-6</v>
      </c>
      <c r="D233" s="1">
        <v>1.6842109170100001E-3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5.6393609833799999E-2</v>
      </c>
      <c r="B234" s="1">
        <v>1.08526541831E-4</v>
      </c>
      <c r="C234" s="1">
        <v>8.3704625114699997E-6</v>
      </c>
      <c r="D234" s="1">
        <v>1.69705302618E-3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5.69575459321E-2</v>
      </c>
      <c r="B235" s="1">
        <v>1.03852373789E-4</v>
      </c>
      <c r="C235" s="1">
        <v>7.8281004092199996E-6</v>
      </c>
      <c r="D235" s="1">
        <v>1.7100235564399999E-3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5.7527121391400003E-2</v>
      </c>
      <c r="B236" s="1">
        <v>9.4362853394199995E-5</v>
      </c>
      <c r="C236" s="1">
        <v>7.2888530012399999E-6</v>
      </c>
      <c r="D236" s="1">
        <v>1.7231237920000001E-3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5.81023926053E-2</v>
      </c>
      <c r="B237" s="1">
        <v>7.5212489148899998E-5</v>
      </c>
      <c r="C237" s="1">
        <v>6.4845859184699996E-6</v>
      </c>
      <c r="D237" s="1">
        <v>1.73635502992E-3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5.8683416531400003E-2</v>
      </c>
      <c r="B238" s="1">
        <v>6.4596833874499998E-5</v>
      </c>
      <c r="C238" s="1">
        <v>6.2109171760500001E-6</v>
      </c>
      <c r="D238" s="1">
        <v>1.74971858022E-3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5.92702506967E-2</v>
      </c>
      <c r="B239" s="1">
        <v>7.5240192453300005E-5</v>
      </c>
      <c r="C239" s="1">
        <v>6.2439564426200002E-6</v>
      </c>
      <c r="D239" s="1">
        <v>1.7632157660200001E-3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5.9862953203699998E-2</v>
      </c>
      <c r="B240" s="1">
        <v>6.1995237865400003E-5</v>
      </c>
      <c r="C240" s="1">
        <v>5.8674133268600004E-6</v>
      </c>
      <c r="D240" s="1">
        <v>1.7768479236799999E-3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6.0461582735700001E-2</v>
      </c>
      <c r="B241" s="1">
        <v>8.9041237528299997E-5</v>
      </c>
      <c r="C241" s="1">
        <v>7.0002646352500004E-6</v>
      </c>
      <c r="D241" s="1">
        <v>1.79061640292E-3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6.1066198563099999E-2</v>
      </c>
      <c r="B242" s="1">
        <v>6.5081455786199997E-5</v>
      </c>
      <c r="C242" s="1">
        <v>5.9703605567200001E-6</v>
      </c>
      <c r="D242" s="1">
        <v>1.80452256695E-3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6.1676860548700002E-2</v>
      </c>
      <c r="B243" s="1">
        <v>7.6084001551299994E-5</v>
      </c>
      <c r="C243" s="1">
        <v>6.29677881794E-6</v>
      </c>
      <c r="D243" s="1">
        <v>1.8185677926199999E-3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6.2293629154200003E-2</v>
      </c>
      <c r="B244" s="1">
        <v>7.8219544283600006E-5</v>
      </c>
      <c r="C244" s="1">
        <v>6.55499545272E-6</v>
      </c>
      <c r="D244" s="1">
        <v>1.8327534705499999E-3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6.2916565445699998E-2</v>
      </c>
      <c r="B245" s="1">
        <v>6.4847886186800006E-5</v>
      </c>
      <c r="C245" s="1">
        <v>5.7373445078900003E-6</v>
      </c>
      <c r="D245" s="1">
        <v>1.8470810052500001E-3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6.3545731100199995E-2</v>
      </c>
      <c r="B246" s="1">
        <v>5.6244551678200002E-5</v>
      </c>
      <c r="C246" s="1">
        <v>5.5760656472500004E-6</v>
      </c>
      <c r="D246" s="1">
        <v>1.8615518153E-3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6.4181188411200005E-2</v>
      </c>
      <c r="B247" s="1">
        <v>5.2852134682199998E-5</v>
      </c>
      <c r="C247" s="1">
        <v>5.5727813844500003E-6</v>
      </c>
      <c r="D247" s="1">
        <v>1.87616733346E-3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6.4823000295299998E-2</v>
      </c>
      <c r="B248" s="1">
        <v>5.2665251043400001E-5</v>
      </c>
      <c r="C248" s="1">
        <v>5.7362136000700001E-6</v>
      </c>
      <c r="D248" s="1">
        <v>1.8909290067899999E-3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6.5471230298199998E-2</v>
      </c>
      <c r="B249" s="1">
        <v>5.4500235980399999E-5</v>
      </c>
      <c r="C249" s="1">
        <v>5.8556695580800002E-6</v>
      </c>
      <c r="D249" s="1">
        <v>1.9058382968600001E-3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6.61259426012E-2</v>
      </c>
      <c r="B250" s="1">
        <v>5.84353290293E-5</v>
      </c>
      <c r="C250" s="1">
        <v>5.9271268014699996E-6</v>
      </c>
      <c r="D250" s="1">
        <v>1.9208966798300001E-3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6.6787202027199996E-2</v>
      </c>
      <c r="B251" s="1">
        <v>5.63963825912E-5</v>
      </c>
      <c r="C251" s="1">
        <v>5.4591433660799997E-6</v>
      </c>
      <c r="D251" s="1">
        <v>1.93610564663E-3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6.7455074047499994E-2</v>
      </c>
      <c r="B252" s="1">
        <v>5.8155471251500003E-5</v>
      </c>
      <c r="C252" s="1">
        <v>5.7303532287100003E-6</v>
      </c>
      <c r="D252" s="1">
        <v>1.9514667030900001E-3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6.8129624787999998E-2</v>
      </c>
      <c r="B253" s="1">
        <v>5.9426752732999999E-5</v>
      </c>
      <c r="C253" s="1">
        <v>5.6542114681800001E-6</v>
      </c>
      <c r="D253" s="1">
        <v>1.9669813701200002E-3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6.8810921035900002E-2</v>
      </c>
      <c r="B254" s="1">
        <v>5.4122169218600003E-5</v>
      </c>
      <c r="C254" s="1">
        <v>5.5569742364500003E-6</v>
      </c>
      <c r="D254" s="1">
        <v>1.9826511838199998E-3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6.9499030246199994E-2</v>
      </c>
      <c r="B255" s="1">
        <v>5.89076502867E-5</v>
      </c>
      <c r="C255" s="1">
        <v>5.6837260830000002E-6</v>
      </c>
      <c r="D255" s="1">
        <v>1.9984776956599999E-3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7.0194020548699998E-2</v>
      </c>
      <c r="B256" s="1">
        <v>4.3626274175100001E-5</v>
      </c>
      <c r="C256" s="1">
        <v>4.7007754804599998E-6</v>
      </c>
      <c r="D256" s="1">
        <v>2.0144624726199998E-3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7.0895960754200002E-2</v>
      </c>
      <c r="B257" s="1">
        <v>4.1613111748000003E-5</v>
      </c>
      <c r="C257" s="1">
        <v>4.5969586870899997E-6</v>
      </c>
      <c r="D257" s="1">
        <v>2.0306070973499998E-3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7.1604920361700006E-2</v>
      </c>
      <c r="B258" s="1">
        <v>4.8610217731800001E-5</v>
      </c>
      <c r="C258" s="1">
        <v>4.71752014418E-6</v>
      </c>
      <c r="D258" s="1">
        <v>2.0469131683199999E-3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7.23209695653E-2</v>
      </c>
      <c r="B259" s="1">
        <v>4.8824207653600002E-5</v>
      </c>
      <c r="C259" s="1">
        <v>4.90388768E-6</v>
      </c>
      <c r="D259" s="1">
        <v>2.0633823E-3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7.3044179261E-2</v>
      </c>
      <c r="B260" s="1">
        <v>4.8385645488999997E-5</v>
      </c>
      <c r="C260" s="1">
        <v>4.9326229040599997E-6</v>
      </c>
      <c r="D260" s="1">
        <v>2.080016123E-3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7.3774621053599998E-2</v>
      </c>
      <c r="B261" s="1">
        <v>4.1342900443099998E-5</v>
      </c>
      <c r="C261" s="1">
        <v>4.4184120482300004E-6</v>
      </c>
      <c r="D261" s="1">
        <v>2.0968162842299998E-3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7.4512367264100002E-2</v>
      </c>
      <c r="B262" s="1">
        <v>4.3263474630199999E-5</v>
      </c>
      <c r="C262" s="1">
        <v>4.4171963389000003E-6</v>
      </c>
      <c r="D262" s="1">
        <v>2.11378444707E-3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7.5257490936799995E-2</v>
      </c>
      <c r="B263" s="1">
        <v>3.2829836646999998E-5</v>
      </c>
      <c r="C263" s="1">
        <v>3.9902383353800003E-6</v>
      </c>
      <c r="D263" s="1">
        <v>2.1309222915499998E-3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7.6010065846099997E-2</v>
      </c>
      <c r="B264" s="1">
        <v>3.6521907017699999E-5</v>
      </c>
      <c r="C264" s="1">
        <v>4.0894975466500001E-6</v>
      </c>
      <c r="D264" s="1">
        <v>2.1482315144599998E-3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7.6770166504600001E-2</v>
      </c>
      <c r="B265" s="1">
        <v>3.6696899905899997E-5</v>
      </c>
      <c r="C265" s="1">
        <v>4.1979272621899997E-6</v>
      </c>
      <c r="D265" s="1">
        <v>2.1657138296100002E-3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7.7537868169599997E-2</v>
      </c>
      <c r="B266" s="1">
        <v>4.3293388458200001E-5</v>
      </c>
      <c r="C266" s="1">
        <v>4.4567767655999997E-6</v>
      </c>
      <c r="D266" s="1">
        <v>2.1833709679000002E-3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7.8313246851300006E-2</v>
      </c>
      <c r="B267" s="1">
        <v>3.3607563291800003E-5</v>
      </c>
      <c r="C267" s="1">
        <v>4.1078797212000003E-6</v>
      </c>
      <c r="D267" s="1">
        <v>2.2012046775799999E-3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7.90963793198E-2</v>
      </c>
      <c r="B268" s="1">
        <v>3.4602620845099999E-5</v>
      </c>
      <c r="C268" s="1">
        <v>4.1427505104300003E-6</v>
      </c>
      <c r="D268" s="1">
        <v>2.2192167243599999E-3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7.9887343112999998E-2</v>
      </c>
      <c r="B269" s="1">
        <v>2.94571745062E-5</v>
      </c>
      <c r="C269" s="1">
        <v>3.5678370384000001E-6</v>
      </c>
      <c r="D269" s="1">
        <v>2.2374088916000002E-3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8.0686216544199996E-2</v>
      </c>
      <c r="B270" s="1">
        <v>3.2365507152000001E-5</v>
      </c>
      <c r="C270" s="1">
        <v>3.7700646584300001E-6</v>
      </c>
      <c r="D270" s="1">
        <v>2.2557829805199998E-3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8.14930787096E-2</v>
      </c>
      <c r="B271" s="1">
        <v>3.0369816874900001E-5</v>
      </c>
      <c r="C271" s="1">
        <v>3.7858431136900001E-6</v>
      </c>
      <c r="D271" s="1">
        <v>2.27434081032E-3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8.2308009496700002E-2</v>
      </c>
      <c r="B272" s="1">
        <v>2.6984838692399998E-5</v>
      </c>
      <c r="C272" s="1">
        <v>3.4894176888800001E-6</v>
      </c>
      <c r="D272" s="1">
        <v>2.2930842184199999E-3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8.31310895917E-2</v>
      </c>
      <c r="B273" s="1">
        <v>2.96341429324E-5</v>
      </c>
      <c r="C273" s="1">
        <v>3.7677390131000002E-6</v>
      </c>
      <c r="D273" s="1">
        <v>2.3120150606099998E-3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8.3962400487599995E-2</v>
      </c>
      <c r="B274" s="1">
        <v>2.2505945014800001E-5</v>
      </c>
      <c r="C274" s="1">
        <v>3.0941715463599999E-6</v>
      </c>
      <c r="D274" s="1">
        <v>2.3311352112099998E-3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8.4802024492500003E-2</v>
      </c>
      <c r="B275" s="1">
        <v>2.9378589661700001E-5</v>
      </c>
      <c r="C275" s="1">
        <v>3.65478632811E-6</v>
      </c>
      <c r="D275" s="1">
        <v>2.3504465633299998E-3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8.5650044737399997E-2</v>
      </c>
      <c r="B276" s="1">
        <v>2.6709267030900001E-5</v>
      </c>
      <c r="C276" s="1">
        <v>3.4358481991000001E-6</v>
      </c>
      <c r="D276" s="1">
        <v>2.3699510289600001E-3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8.6506545184799999E-2</v>
      </c>
      <c r="B277" s="1">
        <v>3.03062368445E-5</v>
      </c>
      <c r="C277" s="1">
        <v>3.5199357157300001E-6</v>
      </c>
      <c r="D277" s="1">
        <v>2.3896505392499998E-3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8.7371610636599997E-2</v>
      </c>
      <c r="B278" s="1">
        <v>2.35719086456E-5</v>
      </c>
      <c r="C278" s="1">
        <v>3.1974810554199999E-6</v>
      </c>
      <c r="D278" s="1">
        <v>2.4095470446400002E-3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8.8245326742999994E-2</v>
      </c>
      <c r="B279" s="1">
        <v>2.7052362772300001E-5</v>
      </c>
      <c r="C279" s="1">
        <v>1.6540704027999999E-6</v>
      </c>
      <c r="D279" s="1">
        <v>2.4296425150899998E-3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8.9127780010400004E-2</v>
      </c>
      <c r="B280" s="1">
        <v>2.3892341792000001E-5</v>
      </c>
      <c r="C280" s="1">
        <v>1.4918745341000001E-6</v>
      </c>
      <c r="D280" s="1">
        <v>2.44993894024E-3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9.00190578105E-2</v>
      </c>
      <c r="B281" s="1">
        <v>2.3613801808999999E-5</v>
      </c>
      <c r="C281" s="1">
        <v>1.4799865133200001E-6</v>
      </c>
      <c r="D281" s="1">
        <v>2.4704383296399999E-3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9.0919248388599994E-2</v>
      </c>
      <c r="B282" s="1">
        <v>2.2894473697499999E-5</v>
      </c>
      <c r="C282" s="1">
        <v>1.43475159586E-6</v>
      </c>
      <c r="D282" s="1">
        <v>2.49114271294E-3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9.18284408725E-2</v>
      </c>
      <c r="B283" s="1">
        <v>1.80676894612E-5</v>
      </c>
      <c r="C283" s="1">
        <v>1.3148664418499999E-6</v>
      </c>
      <c r="D283" s="1">
        <v>2.51205414007E-3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9.2746725281199996E-2</v>
      </c>
      <c r="B284" s="1">
        <v>2.08549420372E-5</v>
      </c>
      <c r="C284" s="1">
        <v>1.3322068709299999E-6</v>
      </c>
      <c r="D284" s="1">
        <v>2.5331746814699998E-3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9.3674192534E-2</v>
      </c>
      <c r="B285" s="1">
        <v>1.7571304073799999E-5</v>
      </c>
      <c r="C285" s="1">
        <v>1.17087807386E-6</v>
      </c>
      <c r="D285" s="1">
        <v>2.5545064282799998E-3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9.4610934459399998E-2</v>
      </c>
      <c r="B286" s="1">
        <v>2.1320163029900001E-5</v>
      </c>
      <c r="C286" s="1">
        <v>1.28960181869E-6</v>
      </c>
      <c r="D286" s="1">
        <v>2.5760514925700002E-3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9.5557043804E-2</v>
      </c>
      <c r="B287" s="1">
        <v>1.9644667687999999E-5</v>
      </c>
      <c r="C287" s="1">
        <v>1.2224263881700001E-6</v>
      </c>
      <c r="D287" s="1">
        <v>2.5978120074900001E-3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9.6512614242E-2</v>
      </c>
      <c r="B288" s="1">
        <v>1.9663184412900001E-5</v>
      </c>
      <c r="C288" s="1">
        <v>1.18301596292E-6</v>
      </c>
      <c r="D288" s="1">
        <v>2.61979012757E-3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9.7477740384400005E-2</v>
      </c>
      <c r="B289" s="1">
        <v>1.8439537391799999E-5</v>
      </c>
      <c r="C289" s="1">
        <v>1.13935460533E-6</v>
      </c>
      <c r="D289" s="1">
        <v>2.6419880288399999E-3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9.8452517788299998E-2</v>
      </c>
      <c r="B290" s="1">
        <v>1.85949315616E-5</v>
      </c>
      <c r="C290" s="1">
        <v>1.1551381121700001E-6</v>
      </c>
      <c r="D290" s="1">
        <v>2.6644079091300002E-3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9.9437042966199998E-2</v>
      </c>
      <c r="B291" s="1">
        <v>1.5595234746500002E-5</v>
      </c>
      <c r="C291" s="1">
        <v>1.0599214565300001E-6</v>
      </c>
      <c r="D291" s="1">
        <v>2.68705198822E-3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0.10043141339599999</v>
      </c>
      <c r="B292" s="1">
        <v>1.7608023922800001E-5</v>
      </c>
      <c r="C292" s="1">
        <v>1.0304800999399999E-6</v>
      </c>
      <c r="D292" s="1">
        <v>2.7099225081E-3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0.10143572753000001</v>
      </c>
      <c r="B293" s="1">
        <v>1.5430901817800002E-5</v>
      </c>
      <c r="C293" s="1">
        <v>1.03299800948E-6</v>
      </c>
      <c r="D293" s="1">
        <v>2.73302173319E-3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0.10245008480499999</v>
      </c>
      <c r="B294" s="1">
        <v>1.6247502873699999E-5</v>
      </c>
      <c r="C294" s="1">
        <v>1.0968045618800001E-6</v>
      </c>
      <c r="D294" s="1">
        <v>2.7563519505200001E-3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0.103474585653</v>
      </c>
      <c r="B295" s="1">
        <v>1.4678916173699999E-5</v>
      </c>
      <c r="C295" s="1">
        <v>1.0305214991500001E-6</v>
      </c>
      <c r="D295" s="1">
        <v>2.7799154700199999E-3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0.10450933151</v>
      </c>
      <c r="B296" s="1">
        <v>1.5448346520300001E-5</v>
      </c>
      <c r="C296" s="1">
        <v>1.07131065738E-6</v>
      </c>
      <c r="D296" s="1">
        <v>2.8037146247199998E-3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0.10555442482500001</v>
      </c>
      <c r="B297" s="1">
        <v>1.5472563689999998E-5</v>
      </c>
      <c r="C297" s="1">
        <v>1.0116896960099999E-6</v>
      </c>
      <c r="D297" s="1">
        <v>2.82775177097E-3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0.10660996907299999</v>
      </c>
      <c r="B298" s="1">
        <v>1.3511093754900001E-5</v>
      </c>
      <c r="C298" s="1">
        <v>9.7460297008699995E-7</v>
      </c>
      <c r="D298" s="1">
        <v>2.8520292886799999E-3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0.107676068764</v>
      </c>
      <c r="B299" s="1">
        <v>1.6170977289700002E-5</v>
      </c>
      <c r="C299" s="1">
        <v>1.1058016451699999E-6</v>
      </c>
      <c r="D299" s="1">
        <v>2.87654958157E-3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0.108752829451</v>
      </c>
      <c r="B300" s="1">
        <v>1.25810421167E-5</v>
      </c>
      <c r="C300" s="1">
        <v>8.9997583948800002E-7</v>
      </c>
      <c r="D300" s="1">
        <v>2.9013150773800002E-3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0.109840357746</v>
      </c>
      <c r="B301" s="1">
        <v>1.3761735315200001E-5</v>
      </c>
      <c r="C301" s="1">
        <v>9.803834925200001E-7</v>
      </c>
      <c r="D301" s="1">
        <v>2.9263282281600002E-3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0.110938761323</v>
      </c>
      <c r="B302" s="1">
        <v>1.16292706762E-5</v>
      </c>
      <c r="C302" s="1">
        <v>9.4358639219599997E-7</v>
      </c>
      <c r="D302" s="1">
        <v>2.9515915104400001E-3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0.11204814893700001</v>
      </c>
      <c r="B303" s="1">
        <v>1.3028185557800001E-5</v>
      </c>
      <c r="C303" s="1">
        <v>9.631337291949999E-7</v>
      </c>
      <c r="D303" s="1">
        <v>2.97710742554E-3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0.11316863042600001</v>
      </c>
      <c r="B304" s="1">
        <v>1.3422336393899999E-5</v>
      </c>
      <c r="C304" s="1">
        <v>9.14919449159E-7</v>
      </c>
      <c r="D304" s="1">
        <v>3.0028784998000001E-3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0.11430031673</v>
      </c>
      <c r="B305" s="1">
        <v>9.54313508532E-6</v>
      </c>
      <c r="C305" s="1">
        <v>7.9833785570400004E-7</v>
      </c>
      <c r="D305" s="1">
        <v>3.0289072847900001E-3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0.115443319898</v>
      </c>
      <c r="B306" s="1">
        <v>1.14832680499E-5</v>
      </c>
      <c r="C306" s="1">
        <v>8.6020515688900004E-7</v>
      </c>
      <c r="D306" s="1">
        <v>3.0551963576400001E-3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0.116597753096</v>
      </c>
      <c r="B307" s="1">
        <v>1.10780653011E-5</v>
      </c>
      <c r="C307" s="1">
        <v>8.8008563190200001E-7</v>
      </c>
      <c r="D307" s="1">
        <v>3.0817483212199999E-3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0.117763730627</v>
      </c>
      <c r="B308" s="1">
        <v>1.05719584408E-5</v>
      </c>
      <c r="C308" s="1">
        <v>8.0888599869499998E-7</v>
      </c>
      <c r="D308" s="1">
        <v>3.1085658044299998E-3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0.11894136793399999</v>
      </c>
      <c r="B309" s="1">
        <v>1.14180807E-5</v>
      </c>
      <c r="C309" s="1">
        <v>8.6230071715600001E-7</v>
      </c>
      <c r="D309" s="1">
        <v>3.1356514624800002E-3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0.120130781613</v>
      </c>
      <c r="B310" s="1">
        <v>9.5022188962299993E-6</v>
      </c>
      <c r="C310" s="1">
        <v>7.6169394416900001E-7</v>
      </c>
      <c r="D310" s="1">
        <v>3.1630079771000001E-3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0.12133208942900001</v>
      </c>
      <c r="B311" s="1">
        <v>8.9078265198699992E-6</v>
      </c>
      <c r="C311" s="1">
        <v>7.7415573117299999E-7</v>
      </c>
      <c r="D311" s="1">
        <v>3.19063805687E-3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0.122545410323</v>
      </c>
      <c r="B312" s="1">
        <v>1.00702872659E-5</v>
      </c>
      <c r="C312" s="1">
        <v>7.8978265166499996E-7</v>
      </c>
      <c r="D312" s="1">
        <v>3.2185444374399999E-3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0.123770864427</v>
      </c>
      <c r="B313" s="1">
        <v>7.6711061262699999E-6</v>
      </c>
      <c r="C313" s="1">
        <v>7.0012852934E-7</v>
      </c>
      <c r="D313" s="1">
        <v>3.2467298818099999E-3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0.125008573071</v>
      </c>
      <c r="B314" s="1">
        <v>9.6227358997900006E-6</v>
      </c>
      <c r="C314" s="1">
        <v>7.8731377856700001E-7</v>
      </c>
      <c r="D314" s="1">
        <v>3.2751971806300002E-3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0.12625865880199999</v>
      </c>
      <c r="B315" s="1">
        <v>7.7874619225399997E-6</v>
      </c>
      <c r="C315" s="1">
        <v>7.6130182054299995E-7</v>
      </c>
      <c r="D315" s="1">
        <v>3.3039491524399999E-3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0.12752124539000001</v>
      </c>
      <c r="B316" s="1">
        <v>7.9904901579599998E-6</v>
      </c>
      <c r="C316" s="1">
        <v>8.0011335217099998E-7</v>
      </c>
      <c r="D316" s="1">
        <v>3.3329886439600002E-3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0.12879645784400001</v>
      </c>
      <c r="B317" s="1">
        <v>8.3359616882800005E-6</v>
      </c>
      <c r="C317" s="1">
        <v>7.8463750700900002E-7</v>
      </c>
      <c r="D317" s="1">
        <v>3.3623185304E-3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0.130084422422</v>
      </c>
      <c r="B318" s="1">
        <v>8.0345211691599994E-6</v>
      </c>
      <c r="C318" s="1">
        <v>7.4576304475700002E-7</v>
      </c>
      <c r="D318" s="1">
        <v>3.3919417157099998E-3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0.131385266646</v>
      </c>
      <c r="B319" s="1">
        <v>5.8197416649599999E-6</v>
      </c>
      <c r="C319" s="1">
        <v>6.55942169052E-7</v>
      </c>
      <c r="D319" s="1">
        <v>3.4218611328599999E-3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0.13269911931299999</v>
      </c>
      <c r="B320" s="1">
        <v>7.8861432441699999E-6</v>
      </c>
      <c r="C320" s="1">
        <v>7.31329325743E-7</v>
      </c>
      <c r="D320" s="1">
        <v>3.4520797441899998E-3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0.134026110506</v>
      </c>
      <c r="B321" s="1">
        <v>6.0485670793100002E-6</v>
      </c>
      <c r="C321" s="1">
        <v>6.3005501057999996E-7</v>
      </c>
      <c r="D321" s="1">
        <v>3.4826005416300002E-3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0.13536637161100001</v>
      </c>
      <c r="B322" s="1">
        <v>7.8059796536199994E-6</v>
      </c>
      <c r="C322" s="1">
        <v>7.2774779933599997E-7</v>
      </c>
      <c r="D322" s="1">
        <v>3.51342654705E-3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0.136720035327</v>
      </c>
      <c r="B323" s="1">
        <v>6.5315784845700004E-6</v>
      </c>
      <c r="C323" s="1">
        <v>6.6995912264900002E-7</v>
      </c>
      <c r="D323" s="1">
        <v>3.5445608125200001E-3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0.13808723568</v>
      </c>
      <c r="B324" s="1">
        <v>5.4319005507300002E-6</v>
      </c>
      <c r="C324" s="1">
        <v>6.0095029554200003E-7</v>
      </c>
      <c r="D324" s="1">
        <v>3.5760064206500001E-3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0.13946810803699999</v>
      </c>
      <c r="B325" s="1">
        <v>6.1557013041299999E-6</v>
      </c>
      <c r="C325" s="1">
        <v>6.0895597871899999E-7</v>
      </c>
      <c r="D325" s="1">
        <v>3.6077664848500001E-3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0.14086278911700001</v>
      </c>
      <c r="B326" s="1">
        <v>4.4951030491800003E-6</v>
      </c>
      <c r="C326" s="1">
        <v>5.5576364522399996E-7</v>
      </c>
      <c r="D326" s="1">
        <v>3.6398441496999999E-3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0.14227141700900001</v>
      </c>
      <c r="B327" s="1">
        <v>5.5457874562000003E-6</v>
      </c>
      <c r="C327" s="1">
        <v>5.8985737389399999E-7</v>
      </c>
      <c r="D327" s="1">
        <v>3.6722425912E-3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0.14369413117900001</v>
      </c>
      <c r="B328" s="1">
        <v>5.8625729216300002E-6</v>
      </c>
      <c r="C328" s="1">
        <v>6.04756383304E-7</v>
      </c>
      <c r="D328" s="1">
        <v>3.7049650171100002E-3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0.14513107249099999</v>
      </c>
      <c r="B329" s="1">
        <v>4.9930090306000003E-6</v>
      </c>
      <c r="C329" s="1">
        <v>5.6328384961499996E-7</v>
      </c>
      <c r="D329" s="1">
        <v>3.7380146672799999E-3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0.146582383215</v>
      </c>
      <c r="B330" s="1">
        <v>4.1029564090100002E-6</v>
      </c>
      <c r="C330" s="1">
        <v>5.3238130995800002E-7</v>
      </c>
      <c r="D330" s="1">
        <v>3.7713948139499998E-3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0.14804820704800001</v>
      </c>
      <c r="B331" s="1">
        <v>3.0661532757900001E-6</v>
      </c>
      <c r="C331" s="1">
        <v>4.8115249806500004E-7</v>
      </c>
      <c r="D331" s="1">
        <v>3.8051087620899998E-3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0.14952868911799999</v>
      </c>
      <c r="B332" s="1">
        <v>4.0190378566000001E-6</v>
      </c>
      <c r="C332" s="1">
        <v>5.2316104200700004E-7</v>
      </c>
      <c r="D332" s="1">
        <v>3.8391598497200001E-3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0.151023976009</v>
      </c>
      <c r="B333" s="1">
        <v>4.9731428715799999E-6</v>
      </c>
      <c r="C333" s="1">
        <v>5.4586851249300002E-7</v>
      </c>
      <c r="D333" s="1">
        <v>3.8735514482100002E-3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0.152534215769</v>
      </c>
      <c r="B334" s="1">
        <v>3.8366699002399997E-6</v>
      </c>
      <c r="C334" s="1">
        <v>5.2274387784000005E-7</v>
      </c>
      <c r="D334" s="1">
        <v>3.9082869626900002E-3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0.15405955792699999</v>
      </c>
      <c r="B335" s="1">
        <v>3.8970121564500004E-6</v>
      </c>
      <c r="C335" s="1">
        <v>4.9389077713400003E-7</v>
      </c>
      <c r="D335" s="1">
        <v>3.9433698323199998E-3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0.15560015350600001</v>
      </c>
      <c r="B336" s="1">
        <v>4.1883452731299997E-6</v>
      </c>
      <c r="C336" s="1">
        <v>4.8683166672799997E-7</v>
      </c>
      <c r="D336" s="1">
        <v>3.9788035306400002E-3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0.157156155041</v>
      </c>
      <c r="B337" s="1">
        <v>3.4809092188200001E-6</v>
      </c>
      <c r="C337" s="1">
        <v>4.5907415330199999E-7</v>
      </c>
      <c r="D337" s="1">
        <v>4.0145915659500001E-3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0.158727716592</v>
      </c>
      <c r="B338" s="1">
        <v>4.0619766170900002E-6</v>
      </c>
      <c r="C338" s="1">
        <v>4.8030786444299995E-7</v>
      </c>
      <c r="D338" s="1">
        <v>4.0507374816099997E-3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0.16031499375800001</v>
      </c>
      <c r="B339" s="1">
        <v>2.75405696147E-6</v>
      </c>
      <c r="C339" s="1">
        <v>4.3599726692500002E-7</v>
      </c>
      <c r="D339" s="1">
        <v>4.0872448564300001E-3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0.16191814369499999</v>
      </c>
      <c r="B340" s="1">
        <v>3.1845301827399999E-6</v>
      </c>
      <c r="C340" s="1">
        <v>4.5163517043900001E-7</v>
      </c>
      <c r="D340" s="1">
        <v>4.1241173049900003E-3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0.16353732513200001</v>
      </c>
      <c r="B341" s="1">
        <v>3.4331614127299999E-6</v>
      </c>
      <c r="C341" s="1">
        <v>5.0347839459399996E-7</v>
      </c>
      <c r="D341" s="1">
        <v>4.1613584780400004E-3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0.16517269838400001</v>
      </c>
      <c r="B342" s="1">
        <v>2.8288466470699999E-6</v>
      </c>
      <c r="C342" s="1">
        <v>4.1856887179899999E-7</v>
      </c>
      <c r="D342" s="1">
        <v>4.1989720628199997E-3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0.16682442536700001</v>
      </c>
      <c r="B343" s="1">
        <v>2.6577705024499999E-6</v>
      </c>
      <c r="C343" s="1">
        <v>4.3664479709400002E-7</v>
      </c>
      <c r="D343" s="1">
        <v>4.2369617834500002E-3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0.16849266962100001</v>
      </c>
      <c r="B344" s="1">
        <v>3.2977336224699999E-6</v>
      </c>
      <c r="C344" s="1">
        <v>4.2782315100599998E-7</v>
      </c>
      <c r="D344" s="1">
        <v>4.27533140128E-3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0.170177596317</v>
      </c>
      <c r="B345" s="1">
        <v>2.8350394378599999E-6</v>
      </c>
      <c r="C345" s="1">
        <v>4.1055784122000002E-7</v>
      </c>
      <c r="D345" s="1">
        <v>4.3140847152999999E-3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0.17187937228</v>
      </c>
      <c r="B346" s="1">
        <v>2.18580856459E-6</v>
      </c>
      <c r="C346" s="1">
        <v>3.8335573471200001E-7</v>
      </c>
      <c r="D346" s="1">
        <v>4.3532255624500003E-3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0.17359816600299999</v>
      </c>
      <c r="B347" s="1">
        <v>1.8282198048500001E-6</v>
      </c>
      <c r="C347" s="1">
        <v>3.9609845330799998E-7</v>
      </c>
      <c r="D347" s="1">
        <v>4.3927578180700004E-3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0.17533414766300001</v>
      </c>
      <c r="B348" s="1">
        <v>2.0698234016799999E-6</v>
      </c>
      <c r="C348" s="1">
        <v>3.99324265164E-7</v>
      </c>
      <c r="D348" s="1">
        <v>4.4326853962600001E-3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0.17708748914</v>
      </c>
      <c r="B349" s="1">
        <v>1.56216780279E-6</v>
      </c>
      <c r="C349" s="1">
        <v>3.8308169946799998E-7</v>
      </c>
      <c r="D349" s="1">
        <v>4.4730122502200003E-3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0.178858364031</v>
      </c>
      <c r="B350" s="1">
        <v>2.21208090075E-6</v>
      </c>
      <c r="C350" s="1">
        <v>4.0089483731199999E-7</v>
      </c>
      <c r="D350" s="1">
        <v>4.5137423727200001E-3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0.18064694767200001</v>
      </c>
      <c r="B351" s="1">
        <v>2.1345691242400001E-6</v>
      </c>
      <c r="C351" s="1">
        <v>4.06631001638E-7</v>
      </c>
      <c r="D351" s="1">
        <v>4.5548797964500001E-3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0.18245341714800001</v>
      </c>
      <c r="B352" s="1">
        <v>1.83443066951E-6</v>
      </c>
      <c r="C352" s="1">
        <v>3.5249589712999998E-7</v>
      </c>
      <c r="D352" s="1">
        <v>4.59642859441E-3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0.18427795131999999</v>
      </c>
      <c r="B353" s="1">
        <v>1.9229563372600001E-6</v>
      </c>
      <c r="C353" s="1">
        <v>3.9324069142999999E-7</v>
      </c>
      <c r="D353" s="1">
        <v>4.63839288036E-3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0.18612073083299999</v>
      </c>
      <c r="B354" s="1">
        <v>1.9559941919400001E-6</v>
      </c>
      <c r="C354" s="1">
        <v>3.5859770994299998E-7</v>
      </c>
      <c r="D354" s="1">
        <v>4.6807768091599996E-3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0.187981938141</v>
      </c>
      <c r="B355" s="1">
        <v>1.78456499404E-6</v>
      </c>
      <c r="C355" s="1">
        <v>3.73751449113E-7</v>
      </c>
      <c r="D355" s="1">
        <v>4.7235845772499998E-3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0.189861757523</v>
      </c>
      <c r="B356" s="1">
        <v>2.4463687969599999E-6</v>
      </c>
      <c r="C356" s="1">
        <v>4.1376529117300002E-7</v>
      </c>
      <c r="D356" s="1">
        <v>4.7668204230199998E-3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0.19176037509800001</v>
      </c>
      <c r="B357" s="1">
        <v>1.19032679632E-6</v>
      </c>
      <c r="C357" s="1">
        <v>3.5689990620800001E-7</v>
      </c>
      <c r="D357" s="1">
        <v>4.8104886272500001E-3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0.19367797884900001</v>
      </c>
      <c r="B358" s="1">
        <v>1.79582465247E-6</v>
      </c>
      <c r="C358" s="1">
        <v>3.8470550589000003E-7</v>
      </c>
      <c r="D358" s="1">
        <v>4.8545935135299997E-3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0.19561475863700001</v>
      </c>
      <c r="B359" s="1">
        <v>1.7244533727899999E-6</v>
      </c>
      <c r="C359" s="1">
        <v>3.4503935688400002E-7</v>
      </c>
      <c r="D359" s="1">
        <v>4.89913944866E-3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0.197570906224</v>
      </c>
      <c r="B360" s="1">
        <v>1.2908429308E-6</v>
      </c>
      <c r="C360" s="1">
        <v>3.47841956263E-7</v>
      </c>
      <c r="D360" s="1">
        <v>4.94413084315E-3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A361">
        <v>0.19954661528600001</v>
      </c>
      <c r="B361" s="1">
        <v>9.0562716334100003E-7</v>
      </c>
      <c r="C361" s="1">
        <v>3.1621758562199999E-7</v>
      </c>
      <c r="D361" s="1">
        <v>4.9895721515799997E-3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2021-06-28T15:50:08Z</dcterms:modified>
</cp:coreProperties>
</file>